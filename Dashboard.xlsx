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hidePivotFieldList="1"/>
  <mc:AlternateContent xmlns:mc="http://schemas.openxmlformats.org/markup-compatibility/2006">
    <mc:Choice Requires="x15">
      <x15ac:absPath xmlns:x15ac="http://schemas.microsoft.com/office/spreadsheetml/2010/11/ac" url="/Users/sanyam/Desktop/"/>
    </mc:Choice>
  </mc:AlternateContent>
  <xr:revisionPtr revIDLastSave="0" documentId="8_{74583E54-AD55-404C-9B22-B7736E53E15E}" xr6:coauthVersionLast="47" xr6:coauthVersionMax="47" xr10:uidLastSave="{00000000-0000-0000-0000-000000000000}"/>
  <bookViews>
    <workbookView xWindow="0" yWindow="0" windowWidth="28160" windowHeight="17620" activeTab="5" xr2:uid="{00000000-000D-0000-FFFF-FFFF00000000}"/>
  </bookViews>
  <sheets>
    <sheet name="Business_Case" sheetId="1" r:id="rId1"/>
    <sheet name="Dataset" sheetId="2" r:id="rId2"/>
    <sheet name="Questions" sheetId="3" r:id="rId3"/>
    <sheet name="cleaned data " sheetId="4" r:id="rId4"/>
    <sheet name="Pivot Table " sheetId="5" r:id="rId5"/>
    <sheet name="Deliverable 1" sheetId="6" r:id="rId6"/>
  </sheets>
  <externalReferences>
    <externalReference r:id="rId7"/>
    <externalReference r:id="rId8"/>
  </externalReferences>
  <definedNames>
    <definedName name="_xlnm._FilterDatabase" localSheetId="3" hidden="1">'cleaned data '!$A$1:$J$327</definedName>
    <definedName name="Slicer_Fiscal_Quarter">#N/A</definedName>
    <definedName name="Slicer_Product_Category">#N/A</definedName>
    <definedName name="Slicer_Record_ID">#N/A</definedName>
    <definedName name="Slicer_Region">#N/A</definedName>
  </definedNames>
  <calcPr calcId="191029" iterateDelta="1E-4"/>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a2bV2ypYosMfDtOoIkLjbcyRNOtOd/vEFwZH8iJvAAY="/>
    </ext>
  </extLst>
</workbook>
</file>

<file path=xl/calcChain.xml><?xml version="1.0" encoding="utf-8"?>
<calcChain xmlns="http://schemas.openxmlformats.org/spreadsheetml/2006/main">
  <c r="L6" i="6" l="1"/>
  <c r="H6" i="6"/>
  <c r="D6" i="6"/>
  <c r="E45" i="5"/>
  <c r="E44" i="5"/>
  <c r="E43" i="5"/>
  <c r="E42" i="5"/>
  <c r="E41" i="5"/>
  <c r="O10" i="4"/>
  <c r="O9" i="4"/>
  <c r="O8" i="4"/>
  <c r="O7" i="4"/>
  <c r="M24" i="4"/>
  <c r="M23" i="4"/>
  <c r="M22" i="4"/>
  <c r="M21" i="4"/>
  <c r="M20" i="4"/>
  <c r="O6" i="4"/>
</calcChain>
</file>

<file path=xl/sharedStrings.xml><?xml version="1.0" encoding="utf-8"?>
<sst xmlns="http://schemas.openxmlformats.org/spreadsheetml/2006/main" count="2800" uniqueCount="107">
  <si>
    <t>DECATHLON: RETAIL STORE PERFORMANCE ANALYSIS (FY24-FY25)</t>
  </si>
  <si>
    <t>Note: Data is simulated for academic purposes only. This dataset intentionally contains data-quality issues for cleaning practice.</t>
  </si>
  <si>
    <t>Course</t>
  </si>
  <si>
    <t>GROUP PROJECT DELIVERABLES (11 Deliverables + Data Cleaning Prerequisite | 15 Marks Total)</t>
  </si>
  <si>
    <t>Record ID</t>
  </si>
  <si>
    <t>SADM | Group Assignment | Total Marks: 15</t>
  </si>
  <si>
    <t>Background</t>
  </si>
  <si>
    <t>Fiscal Quarter</t>
  </si>
  <si>
    <t>Decathlon operates a large network of retail stores across India selling sports and outdoor equipment across five product categories -- Footwear, Apparel, Fitness Equipment, Outdoor &amp; Camping, and Team Sports -- across five regions (North, South, East, West, and Central India). Each quarter, stores report units sold, average checkout time, operating cost, customer satisfaction, and return/exchange visits, split across four transaction types: In-Store Purchase, Online Delivery, Store Pickup, and Return/Exchange.</t>
  </si>
  <si>
    <t>Region</t>
  </si>
  <si>
    <t>Your Role</t>
  </si>
  <si>
    <t>Transaction Type</t>
  </si>
  <si>
    <t>You are a Business Analyst Intern in Decathlon's Retail Operations team. The Head of Retail Operations has asked you to analyze the last two fiscal years of quarterly store data (FY24-FY25) and present data-backed recommendations for improving store efficiency and customer experience in FY26.</t>
  </si>
  <si>
    <t>Product Category</t>
  </si>
  <si>
    <t>Business Problem</t>
  </si>
  <si>
    <t>Units Sold</t>
  </si>
  <si>
    <t>Operations leadership wants to know: (1) which transaction types have the most inconsistent or excessive checkout time, (2) which regions have the highest operating cost relative to units sold, (3) which region-transaction combinations have the lowest customer satisfaction, and (4) where return/exchange visits suggest recurring product or process issues. Your analysis, built entirely in Excel, will directly inform FY26 store staffing and inventory decisions.</t>
  </si>
  <si>
    <t>DELIVERABLE 1 — Dashboard</t>
  </si>
  <si>
    <t>Avg Checkout Time Minutes</t>
  </si>
  <si>
    <t>The Dataset -- Important: This Data Is Deliberately Messy</t>
  </si>
  <si>
    <t>Operating Cost INR Lakh</t>
  </si>
  <si>
    <t>Customer Satisfaction Score</t>
  </si>
  <si>
    <t>The 'Dataset' sheet contains simulated quarterly store records with 10 variables covering time (Fiscal Quarter), location (Region), transaction structure (Transaction Type, Product Category), and performance (Units Sold, Avg Checkout Time Minutes, Operating Cost INR Lakh, Customer Satisfaction Score, Return/Exchange Visits). As in real business reporting, this dataset contains a small, intentional number of data quality issues -- duplicate records, missing values, and impossible values (e.g., negative time or cost, satisfaction scores outside the 1-10 scale). You must identify and clean these issues BEFORE running your analysis. Figures are simulated for academic use and do not represent Decathlon's actual reported data.</t>
  </si>
  <si>
    <t>Return Exchange Visits</t>
  </si>
  <si>
    <t>What You Must Do</t>
  </si>
  <si>
    <t>Build a one-page interactive dashboard with KPI cards for Total Units Sold, Total Operating Cost, Average Checkout Time, and Total Return/Exchange Visits. Which fiscal quarter had the best (lowest) average checkout time, and which had the worst?</t>
  </si>
  <si>
    <t>First, clean the dataset: find and handle duplicates, missing values, and impossible values, and briefly document what you found and how you fixed it (this is your Data Cleaning Log — see the 'Questions' sheet). Then use Excel's analytical toolkit — Sorting, Filtering, PivotTables, PivotCharts, Descriptive Statistics, the Data Analysis ToolPak (Hypothesis Testing, Correlation, Regression), and a one-page interactive dashboard — on the CLEANED data to complete the 11 deliverables listed on the 'Questions' sheet.</t>
  </si>
  <si>
    <t>Q2 FY25</t>
  </si>
  <si>
    <t>West India</t>
  </si>
  <si>
    <t>Return/Exchange</t>
  </si>
  <si>
    <t>Apparel</t>
  </si>
  <si>
    <t>Show a trend chart of Units Sold by Product Category across Fiscal Quarters (FY24 vs FY25) on your dashboard. What demand trend stands out, and what inventory/capacity-planning action would you recommend?</t>
  </si>
  <si>
    <t>Compare Operating Cost relative to Units Sold by Region on your dashboard (chart or PivotTable). Which region is running efficiently, and which region has disproportionately high operating cost?</t>
  </si>
  <si>
    <t>Compare Average Checkout Time across the four Transaction Types on your dashboard. Which transaction type shows the most inconsistent or excessive checkout time, and what does that suggest for staffing and scheduling?</t>
  </si>
  <si>
    <t>Q2 FY24</t>
  </si>
  <si>
    <t>South India</t>
  </si>
  <si>
    <t>Store Pickup</t>
  </si>
  <si>
    <t>Compare average Customer Satisfaction Score by Region and Transaction Type on your dashboard. Which region-transaction combination needs the most urgent quality improvement, and why?</t>
  </si>
  <si>
    <t>Footwear</t>
  </si>
  <si>
    <t>DELIVERABLE 2 — Hypothesis Testing</t>
  </si>
  <si>
    <t>Q3 FY25</t>
  </si>
  <si>
    <t>Online Delivery</t>
  </si>
  <si>
    <t>Team Sports</t>
  </si>
  <si>
    <t>Decathlon's operations head believes that Customer Satisfaction Score is similar across all four Transaction Types (In-Store Purchase, Online Delivery, Store Pickup, Return/Exchange), so no single transaction type needs special attention. Frame this as a proper hypothesis (state H₀ and H₁), choose the correct statistical test to check this belief using Customer Satisfaction Score across the four Transaction Types on the cleaned data, and test it at the 5% significance level. Report the test statistic, decision, conclusion, and what you would tell management — does the belief hold, and if not, which transaction type is pulling the average down?</t>
  </si>
  <si>
    <t>Q4 FY24</t>
  </si>
  <si>
    <t>Central India</t>
  </si>
  <si>
    <t>DELIVERABLE 3 — Correlation</t>
  </si>
  <si>
    <t>In-Store Purchase</t>
  </si>
  <si>
    <t>For the business question “What factors drive Decathlon's Operating Cost?”, plot and identify the dependent (Y) variable and at least two independent (X) variable candidates from the cleaned dataset, and justify your choice in one line.</t>
  </si>
  <si>
    <t>Fitness Equipment</t>
  </si>
  <si>
    <t>Calculate the correlation coefficient between (a) Units Sold and Operating Cost, and (b) Return/Exchange Visits and Customer Satisfaction Score. Which relationship is stronger, and what does that tell management?</t>
  </si>
  <si>
    <t>Plot a scatter chart of Operating Cost (Y-axis) vs Units Sold (X-axis) on your dashboard or in Excel. Does the visual pattern match the correlation value from Deliverable 8? What does the shape of the scatter plot suggest for Decathlon's staffing and cost planning?</t>
  </si>
  <si>
    <t>East India</t>
  </si>
  <si>
    <t>Outdoor &amp; Camping</t>
  </si>
  <si>
    <t>DELIVERABLE 4 — Linear Regression</t>
  </si>
  <si>
    <t>Q3 FY24</t>
  </si>
  <si>
    <t>Frame the business question, then run a linear regression of Operating Cost (Y) on Units Sold (X). Report the regression equation, R², coefficients. Use the equation to predict Operating Cost for a given Units Sold value (e.g., 200 units), and explain the managerial implication of this prediction for FY26 budgeting.</t>
  </si>
  <si>
    <t>Run a linear regression of Customer Satisfaction Score (Y) on Average Checkout Time (X). Report the regression equation, R², coefficients. Use the equation to estimate the change in Customer Satisfaction if Average Checkout Time is reduced by 1 minute, and explain what this means for staffing at checkout.</t>
  </si>
  <si>
    <t>Q4 FY25</t>
  </si>
  <si>
    <t>North India</t>
  </si>
  <si>
    <t>Q1 FY24</t>
  </si>
  <si>
    <t>Q1 FY25</t>
  </si>
  <si>
    <t xml:space="preserve">I found 4 duplicate entries and Deleted them </t>
  </si>
  <si>
    <t xml:space="preserve">total count </t>
  </si>
  <si>
    <t xml:space="preserve">After Deleting duplicate entries </t>
  </si>
  <si>
    <t xml:space="preserve">missing entries </t>
  </si>
  <si>
    <t xml:space="preserve">Qualitative </t>
  </si>
  <si>
    <t xml:space="preserve">region </t>
  </si>
  <si>
    <t xml:space="preserve">Quantitave </t>
  </si>
  <si>
    <t xml:space="preserve">Median </t>
  </si>
  <si>
    <t xml:space="preserve">missing values count </t>
  </si>
  <si>
    <t xml:space="preserve">Deleted Rows </t>
  </si>
  <si>
    <t>Total Count become 326</t>
  </si>
  <si>
    <t xml:space="preserve">I claculated the median for the quantitaive data and put the values of median in the respective blank cells, deletd the entire row for the qualitative data </t>
  </si>
  <si>
    <t xml:space="preserve">STEP 3 - Correct invalid data </t>
  </si>
  <si>
    <t xml:space="preserve">STEP 2 - Handling missing values </t>
  </si>
  <si>
    <t xml:space="preserve">STEP 1 - Removing Duplicates </t>
  </si>
  <si>
    <t xml:space="preserve">Record ID </t>
  </si>
  <si>
    <t>Avg Checkout Time Minutes (3)</t>
  </si>
  <si>
    <t xml:space="preserve">where I found negative values in quantitative data I put the values of median there </t>
  </si>
  <si>
    <t xml:space="preserve">Replace negative values </t>
  </si>
  <si>
    <t>Operating Cost INR Lakh (1)</t>
  </si>
  <si>
    <t xml:space="preserve">Customer Satisfaction Score (2) </t>
  </si>
  <si>
    <t xml:space="preserve">Repalced satisfaction score above 10 with median </t>
  </si>
  <si>
    <t xml:space="preserve">Replacing Extreme values </t>
  </si>
  <si>
    <t>Avg Checkout Time Minutes (1)</t>
  </si>
  <si>
    <t xml:space="preserve">STEP 4 Final Cleaned Dataset </t>
  </si>
  <si>
    <t xml:space="preserve">After cleaning dataset we have fianl 326 entries </t>
  </si>
  <si>
    <t>Row Labels</t>
  </si>
  <si>
    <t>Grand Total</t>
  </si>
  <si>
    <t>Average of Avg Checkout Time Minutes</t>
  </si>
  <si>
    <t>Column Labels</t>
  </si>
  <si>
    <t>Sum of Units Sold</t>
  </si>
  <si>
    <t>Sum of Operating Cost INR Lakh</t>
  </si>
  <si>
    <t xml:space="preserve">Cost per unit </t>
  </si>
  <si>
    <t xml:space="preserve">Approx </t>
  </si>
  <si>
    <t>Average of Customer Satisfaction Score</t>
  </si>
  <si>
    <t>DECATHLON BUSINESS PERFORMANCE DASHBOARD</t>
  </si>
  <si>
    <t>FY24 – FY25 </t>
  </si>
  <si>
    <t>TOTAL UNITS SOLD</t>
  </si>
  <si>
    <t>FY24 + FY25</t>
  </si>
  <si>
    <t>TOTAL OPERATING COST</t>
  </si>
  <si>
    <t>AVG CHECKOUT TIME</t>
  </si>
  <si>
    <t>LAKH</t>
  </si>
  <si>
    <t xml:space="preserve">Overall Average </t>
  </si>
  <si>
    <t>RETURN / EXCHANGE VISITS</t>
  </si>
  <si>
    <t>Average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</si>
</sst>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42">
    <font>
      <sz val="11"/>
      <color theme="1"/>
      <name val="Calibri"/>
      <scheme val="minor"/>
    </font>
    <font>
      <b/>
      <sz val="16"/>
      <color rgb="FFFFFFFF"/>
      <name val="Arial"/>
      <family val="2"/>
    </font>
    <font>
      <sz val="10"/>
      <color rgb="FFA6710A"/>
      <name val="Arial"/>
      <family val="2"/>
    </font>
    <font>
      <b/>
      <sz val="11"/>
      <color rgb="FFE31937"/>
      <name val="Arial"/>
      <family val="2"/>
    </font>
    <font>
      <sz val="10"/>
      <color theme="1"/>
      <name val="Arial"/>
      <family val="2"/>
    </font>
    <font>
      <b/>
      <sz val="10"/>
      <color rgb="FFFFFFFF"/>
      <name val="Arial"/>
      <family val="2"/>
    </font>
    <font>
      <sz val="11"/>
      <name val="Calibri"/>
      <family val="2"/>
    </font>
    <font>
      <b/>
      <sz val="11"/>
      <color rgb="FFFFFFFF"/>
      <name val="Arial"/>
      <family val="2"/>
    </font>
    <font>
      <b/>
      <sz val="11"/>
      <color rgb="FFFFFFFF"/>
      <name val="Calibri"/>
      <family val="2"/>
    </font>
    <font>
      <sz val="11"/>
      <color theme="1"/>
      <name val="Calibri"/>
      <family val="2"/>
    </font>
    <font>
      <sz val="10"/>
      <color rgb="FF000000"/>
      <name val="Arial"/>
      <family val="2"/>
    </font>
    <font>
      <sz val="11"/>
      <color theme="1"/>
      <name val="Calibri"/>
      <family val="2"/>
      <scheme val="minor"/>
    </font>
    <font>
      <b/>
      <sz val="11"/>
      <color theme="1"/>
      <name val="Calibri"/>
      <family val="2"/>
      <scheme val="minor"/>
    </font>
    <font>
      <sz val="11"/>
      <color theme="2"/>
      <name val="Calibri"/>
      <family val="2"/>
      <scheme val="minor"/>
    </font>
    <font>
      <sz val="11"/>
      <color theme="2"/>
      <name val="Calibri"/>
      <family val="2"/>
    </font>
    <font>
      <sz val="11"/>
      <color theme="3"/>
      <name val="Calibri"/>
      <family val="2"/>
      <scheme val="minor"/>
    </font>
    <font>
      <sz val="11"/>
      <color theme="3"/>
      <name val="Calibri"/>
      <family val="2"/>
    </font>
    <font>
      <b/>
      <sz val="11"/>
      <color theme="2"/>
      <name val="Calibri"/>
      <family val="2"/>
      <scheme val="minor"/>
    </font>
    <font>
      <b/>
      <sz val="10"/>
      <color theme="3"/>
      <name val="Arial"/>
      <family val="2"/>
    </font>
    <font>
      <b/>
      <sz val="13.5"/>
      <color rgb="FF000000"/>
      <name val="Calibri"/>
      <family val="2"/>
      <scheme val="minor"/>
    </font>
    <font>
      <sz val="11"/>
      <color rgb="FF000000"/>
      <name val="Calibri"/>
      <family val="2"/>
      <scheme val="minor"/>
    </font>
    <font>
      <sz val="11"/>
      <color theme="1"/>
      <name val="Calibri"/>
      <family val="2"/>
      <scheme val="minor"/>
    </font>
    <font>
      <sz val="14"/>
      <color rgb="FF000000"/>
      <name val="-webkit-standard"/>
    </font>
    <font>
      <b/>
      <sz val="24"/>
      <color theme="1"/>
      <name val="Calibri"/>
      <family val="2"/>
      <scheme val="minor"/>
    </font>
    <font>
      <sz val="11"/>
      <name val="Carlito"/>
    </font>
    <font>
      <sz val="12"/>
      <color rgb="FF203040"/>
      <name val="Aptos"/>
    </font>
    <font>
      <sz val="10"/>
      <color rgb="FF203040"/>
      <name val="Aptos"/>
    </font>
    <font>
      <sz val="10"/>
      <color rgb="FFFFFFFF"/>
      <name val="Aptos"/>
    </font>
    <font>
      <u/>
      <sz val="10"/>
      <color rgb="FFFFFFFF"/>
      <name val="Aptos"/>
    </font>
    <font>
      <b/>
      <u/>
      <sz val="22"/>
      <color rgb="FFFFFFFF"/>
      <name val="Aptos Display"/>
    </font>
    <font>
      <b/>
      <u/>
      <sz val="10"/>
      <color rgb="FFBFD7E5"/>
      <name val="Aptos"/>
    </font>
    <font>
      <b/>
      <sz val="10"/>
      <color rgb="FFBFD7E5"/>
      <name val="Aptos"/>
    </font>
    <font>
      <sz val="9"/>
      <color rgb="FF203040"/>
      <name val="Aptos"/>
    </font>
    <font>
      <b/>
      <sz val="9"/>
      <color rgb="FF203040"/>
      <name val="Aptos"/>
    </font>
    <font>
      <b/>
      <sz val="9"/>
      <color rgb="FF526575"/>
      <name val="Aptos"/>
    </font>
    <font>
      <b/>
      <sz val="20"/>
      <color rgb="FF12304A"/>
      <name val="Aptos Display"/>
    </font>
    <font>
      <sz val="8"/>
      <color rgb="FF7A8996"/>
      <name val="Aptos"/>
    </font>
    <font>
      <b/>
      <sz val="9"/>
      <color rgb="FFFFFFFF"/>
      <name val="Aptos"/>
    </font>
    <font>
      <sz val="12"/>
      <color rgb="FF7A8996"/>
      <name val="Aptos"/>
    </font>
    <font>
      <b/>
      <sz val="24"/>
      <color rgb="FF12304A"/>
      <name val="Aptos Display"/>
    </font>
    <font>
      <b/>
      <sz val="12"/>
      <color theme="1"/>
      <name val="Aptos"/>
    </font>
    <font>
      <b/>
      <sz val="9"/>
      <color theme="1"/>
      <name val="Aptos"/>
    </font>
  </fonts>
  <fills count="10">
    <fill>
      <patternFill patternType="none"/>
    </fill>
    <fill>
      <patternFill patternType="gray125"/>
    </fill>
    <fill>
      <patternFill patternType="solid">
        <fgColor rgb="FF1A1A1A"/>
        <bgColor rgb="FF1A1A1A"/>
      </patternFill>
    </fill>
    <fill>
      <patternFill patternType="solid">
        <fgColor rgb="FFFFF2CC"/>
        <bgColor rgb="FFFFF2CC"/>
      </patternFill>
    </fill>
    <fill>
      <patternFill patternType="solid">
        <fgColor rgb="FFE31937"/>
        <bgColor rgb="FFE31937"/>
      </patternFill>
    </fill>
    <fill>
      <patternFill patternType="solid">
        <fgColor theme="4"/>
        <bgColor indexed="64"/>
      </patternFill>
    </fill>
    <fill>
      <patternFill patternType="solid">
        <fgColor theme="6"/>
        <bgColor indexed="64"/>
      </patternFill>
    </fill>
    <fill>
      <patternFill patternType="solid">
        <fgColor rgb="FFFFFFFF"/>
        <bgColor indexed="64"/>
      </patternFill>
    </fill>
    <fill>
      <patternFill patternType="solid">
        <fgColor rgb="FFF3F6F9"/>
        <bgColor indexed="64"/>
      </patternFill>
    </fill>
    <fill>
      <patternFill patternType="solid">
        <fgColor rgb="FF12304A"/>
        <bgColor indexed="64"/>
      </patternFill>
    </fill>
  </fills>
  <borders count="27">
    <border>
      <left/>
      <right/>
      <top/>
      <bottom/>
      <diagonal/>
    </border>
    <border>
      <left/>
      <right/>
      <top/>
      <bottom/>
      <diagonal/>
    </border>
    <border>
      <left/>
      <right/>
      <top/>
      <bottom/>
      <diagonal/>
    </border>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ck">
        <color rgb="FF14A3A6"/>
      </top>
      <bottom/>
      <diagonal/>
    </border>
    <border>
      <left/>
      <right/>
      <top/>
      <bottom style="thin">
        <color rgb="FFD7E0E7"/>
      </bottom>
      <diagonal/>
    </border>
    <border>
      <left style="thin">
        <color rgb="FFE4E9EE"/>
      </left>
      <right/>
      <top style="thick">
        <color rgb="FF14A3A6"/>
      </top>
      <bottom/>
      <diagonal/>
    </border>
    <border>
      <left style="thin">
        <color rgb="FFE4E9EE"/>
      </left>
      <right/>
      <top/>
      <bottom/>
      <diagonal/>
    </border>
    <border>
      <left style="thin">
        <color rgb="FFE4E9EE"/>
      </left>
      <right/>
      <top/>
      <bottom style="thin">
        <color rgb="FFD7E0E7"/>
      </bottom>
      <diagonal/>
    </border>
    <border>
      <left/>
      <right style="thin">
        <color rgb="FFE4E9EE"/>
      </right>
      <top style="thick">
        <color rgb="FF14A3A6"/>
      </top>
      <bottom/>
      <diagonal/>
    </border>
    <border>
      <left/>
      <right style="thin">
        <color rgb="FFE4E9EE"/>
      </right>
      <top/>
      <bottom/>
      <diagonal/>
    </border>
    <border>
      <left/>
      <right style="thin">
        <color rgb="FFE4E9EE"/>
      </right>
      <top/>
      <bottom style="thin">
        <color rgb="FFD7E0E7"/>
      </bottom>
      <diagonal/>
    </border>
    <border>
      <left style="thin">
        <color rgb="FFD7E1EA"/>
      </left>
      <right/>
      <top style="thin">
        <color rgb="FFD7E1EA"/>
      </top>
      <bottom style="thin">
        <color rgb="FFE5EAEE"/>
      </bottom>
      <diagonal/>
    </border>
    <border>
      <left/>
      <right/>
      <top style="thin">
        <color rgb="FFD7E1EA"/>
      </top>
      <bottom style="thin">
        <color rgb="FFE5EAEE"/>
      </bottom>
      <diagonal/>
    </border>
    <border>
      <left/>
      <right style="thin">
        <color rgb="FFD7E1EA"/>
      </right>
      <top style="thin">
        <color rgb="FFD7E1EA"/>
      </top>
      <bottom style="thin">
        <color rgb="FFE5EAEE"/>
      </bottom>
      <diagonal/>
    </border>
    <border>
      <left/>
      <right/>
      <top style="thin">
        <color rgb="FFE5EAEE"/>
      </top>
      <bottom style="thin">
        <color rgb="FFE5EAEE"/>
      </bottom>
      <diagonal/>
    </border>
    <border>
      <left/>
      <right/>
      <top style="thin">
        <color rgb="FFE5EAEE"/>
      </top>
      <bottom/>
      <diagonal/>
    </border>
  </borders>
  <cellStyleXfs count="3">
    <xf numFmtId="0" fontId="0" fillId="0" borderId="0"/>
    <xf numFmtId="9" fontId="21" fillId="0" borderId="0" applyFont="0" applyFill="0" applyBorder="0" applyAlignment="0" applyProtection="0"/>
    <xf numFmtId="0" fontId="24" fillId="0" borderId="3"/>
  </cellStyleXfs>
  <cellXfs count="87">
    <xf numFmtId="0" fontId="0" fillId="0" borderId="0" xfId="0"/>
    <xf numFmtId="0" fontId="1" fillId="2" borderId="1" xfId="0" applyFont="1" applyFill="1" applyBorder="1"/>
    <xf numFmtId="0" fontId="2" fillId="3" borderId="1" xfId="0" applyFont="1" applyFill="1" applyBorder="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vertical="center" wrapText="1"/>
    </xf>
    <xf numFmtId="0" fontId="4" fillId="0" borderId="0" xfId="0" applyFont="1"/>
    <xf numFmtId="0" fontId="8" fillId="4" borderId="1" xfId="0" applyFont="1" applyFill="1" applyBorder="1" applyAlignment="1">
      <alignment horizontal="center" vertical="center"/>
    </xf>
    <xf numFmtId="0" fontId="9" fillId="0" borderId="0" xfId="0" applyFont="1"/>
    <xf numFmtId="0" fontId="10" fillId="0" borderId="0" xfId="0" applyFont="1" applyAlignment="1">
      <alignment vertical="top" wrapText="1"/>
    </xf>
    <xf numFmtId="0" fontId="11" fillId="0" borderId="0" xfId="0" applyFont="1"/>
    <xf numFmtId="0" fontId="11" fillId="0" borderId="0" xfId="0" applyFont="1" applyAlignment="1">
      <alignment horizontal="center" wrapText="1"/>
    </xf>
    <xf numFmtId="0" fontId="12" fillId="0" borderId="0" xfId="0" applyFont="1"/>
    <xf numFmtId="0" fontId="13" fillId="5" borderId="0" xfId="0" applyFont="1" applyFill="1"/>
    <xf numFmtId="0" fontId="14" fillId="5" borderId="0" xfId="0" applyFont="1" applyFill="1"/>
    <xf numFmtId="0" fontId="17" fillId="5" borderId="0" xfId="0" applyFont="1" applyFill="1"/>
    <xf numFmtId="0" fontId="4" fillId="0" borderId="1" xfId="0" applyFont="1" applyBorder="1" applyAlignment="1">
      <alignment vertical="center" wrapText="1"/>
    </xf>
    <xf numFmtId="0" fontId="18" fillId="0" borderId="1" xfId="0" applyFont="1" applyBorder="1" applyAlignment="1">
      <alignment vertical="center" wrapText="1"/>
    </xf>
    <xf numFmtId="0" fontId="9" fillId="6" borderId="0" xfId="0" applyFont="1" applyFill="1"/>
    <xf numFmtId="0" fontId="11" fillId="6" borderId="0" xfId="0" applyFont="1" applyFill="1"/>
    <xf numFmtId="0" fontId="15" fillId="6" borderId="0" xfId="0" applyFont="1" applyFill="1"/>
    <xf numFmtId="0" fontId="16" fillId="6" borderId="0" xfId="0" applyFont="1" applyFill="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11" fillId="0" borderId="4" xfId="0" applyFont="1" applyBorder="1"/>
    <xf numFmtId="164" fontId="0" fillId="0" borderId="0" xfId="0" applyNumberFormat="1"/>
    <xf numFmtId="2" fontId="0" fillId="0" borderId="0" xfId="0" applyNumberFormat="1"/>
    <xf numFmtId="44" fontId="0" fillId="0" borderId="0" xfId="0" applyNumberFormat="1"/>
    <xf numFmtId="164" fontId="0" fillId="0" borderId="0" xfId="1" applyNumberFormat="1" applyFont="1"/>
    <xf numFmtId="0" fontId="0" fillId="0" borderId="0" xfId="0" applyAlignment="1">
      <alignment horizontal="center" vertical="center"/>
    </xf>
    <xf numFmtId="0" fontId="12" fillId="0" borderId="0" xfId="0" applyFont="1" applyAlignment="1">
      <alignment horizontal="center"/>
    </xf>
    <xf numFmtId="0" fontId="22" fillId="0" borderId="0" xfId="0" applyFont="1" applyAlignment="1">
      <alignment horizontal="center"/>
    </xf>
    <xf numFmtId="0" fontId="23" fillId="0" borderId="0" xfId="0" applyFont="1"/>
    <xf numFmtId="0" fontId="0" fillId="0" borderId="0" xfId="0"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26" fillId="8" borderId="0" xfId="0" applyFont="1" applyFill="1" applyAlignment="1">
      <alignment vertical="center"/>
    </xf>
    <xf numFmtId="0" fontId="26" fillId="8" borderId="0" xfId="0" applyFont="1" applyFill="1" applyAlignment="1">
      <alignment horizontal="center" vertical="center"/>
    </xf>
    <xf numFmtId="0" fontId="26" fillId="8" borderId="0" xfId="0" applyFont="1" applyFill="1" applyAlignment="1">
      <alignment horizontal="left" vertical="center"/>
    </xf>
    <xf numFmtId="0" fontId="27" fillId="9" borderId="0" xfId="0" applyFont="1" applyFill="1" applyAlignment="1">
      <alignment vertical="center"/>
    </xf>
    <xf numFmtId="0" fontId="28" fillId="9" borderId="0" xfId="0" applyFont="1" applyFill="1" applyAlignment="1">
      <alignment vertical="center"/>
    </xf>
    <xf numFmtId="0" fontId="34" fillId="7" borderId="19"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20" xfId="0" applyFont="1" applyFill="1" applyBorder="1" applyAlignment="1">
      <alignment horizontal="center" vertical="center"/>
    </xf>
    <xf numFmtId="0" fontId="36" fillId="7" borderId="18" xfId="0" applyFont="1" applyFill="1" applyBorder="1" applyAlignment="1">
      <alignment horizontal="center" vertical="center"/>
    </xf>
    <xf numFmtId="0" fontId="36" fillId="7" borderId="21" xfId="0" applyFont="1" applyFill="1" applyBorder="1" applyAlignment="1">
      <alignment horizontal="center" vertical="center"/>
    </xf>
    <xf numFmtId="0" fontId="33" fillId="7" borderId="25" xfId="0" applyFont="1" applyFill="1" applyBorder="1" applyAlignment="1">
      <alignment vertical="center"/>
    </xf>
    <xf numFmtId="0" fontId="33" fillId="7" borderId="26" xfId="0" applyFont="1" applyFill="1" applyBorder="1" applyAlignment="1">
      <alignment vertical="center"/>
    </xf>
    <xf numFmtId="0" fontId="37" fillId="9" borderId="22" xfId="0" applyFont="1" applyFill="1" applyBorder="1" applyAlignment="1">
      <alignment horizontal="center" vertical="center" wrapText="1"/>
    </xf>
    <xf numFmtId="0" fontId="37" fillId="9" borderId="23" xfId="0" applyFont="1" applyFill="1" applyBorder="1" applyAlignment="1">
      <alignment horizontal="center" vertical="center" wrapText="1"/>
    </xf>
    <xf numFmtId="0" fontId="37" fillId="9" borderId="24" xfId="0" applyFont="1" applyFill="1" applyBorder="1" applyAlignment="1">
      <alignment horizontal="center" vertical="center" wrapText="1"/>
    </xf>
    <xf numFmtId="2" fontId="32" fillId="7" borderId="25" xfId="0" applyNumberFormat="1" applyFont="1" applyFill="1" applyBorder="1" applyAlignment="1">
      <alignment horizontal="center" vertical="center"/>
    </xf>
    <xf numFmtId="2" fontId="32" fillId="7" borderId="26" xfId="0" applyNumberFormat="1" applyFont="1" applyFill="1" applyBorder="1" applyAlignment="1">
      <alignment horizontal="center" vertical="center"/>
    </xf>
    <xf numFmtId="0" fontId="29" fillId="9" borderId="0" xfId="0" applyFont="1" applyFill="1" applyAlignment="1">
      <alignment horizontal="centerContinuous" vertical="center"/>
    </xf>
    <xf numFmtId="0" fontId="30" fillId="9" borderId="0" xfId="0" applyFont="1" applyFill="1" applyAlignment="1">
      <alignment horizontal="centerContinuous" vertical="center"/>
    </xf>
    <xf numFmtId="0" fontId="31" fillId="9" borderId="0" xfId="0" applyFont="1" applyFill="1" applyAlignment="1">
      <alignment horizontal="centerContinuous" vertical="center"/>
    </xf>
    <xf numFmtId="3" fontId="39" fillId="7" borderId="3" xfId="0" applyNumberFormat="1" applyFont="1" applyFill="1" applyBorder="1" applyAlignment="1">
      <alignment horizontal="center" vertical="center"/>
    </xf>
    <xf numFmtId="0" fontId="38" fillId="7" borderId="18" xfId="0" applyFont="1" applyFill="1" applyBorder="1" applyAlignment="1">
      <alignment horizontal="center" vertical="center"/>
    </xf>
    <xf numFmtId="0" fontId="25" fillId="8" borderId="0" xfId="0" applyFont="1" applyFill="1" applyAlignment="1">
      <alignment horizontal="center" vertical="center"/>
    </xf>
    <xf numFmtId="0" fontId="40" fillId="7" borderId="16" xfId="0" applyFont="1" applyFill="1" applyBorder="1" applyAlignment="1">
      <alignment horizontal="left" vertical="center"/>
    </xf>
    <xf numFmtId="0" fontId="41" fillId="7" borderId="19" xfId="0" applyFont="1" applyFill="1" applyBorder="1" applyAlignment="1">
      <alignment horizontal="center" vertical="center"/>
    </xf>
    <xf numFmtId="2" fontId="35" fillId="7" borderId="20" xfId="0" applyNumberFormat="1" applyFont="1" applyFill="1" applyBorder="1" applyAlignment="1">
      <alignment horizontal="left" vertical="center"/>
    </xf>
    <xf numFmtId="0" fontId="39" fillId="7" borderId="20" xfId="0" applyFont="1" applyFill="1" applyBorder="1" applyAlignment="1">
      <alignment horizontal="center" vertical="center"/>
    </xf>
    <xf numFmtId="0" fontId="40" fillId="7" borderId="15" xfId="0" applyFont="1" applyFill="1" applyBorder="1" applyAlignment="1">
      <alignment horizontal="center" vertical="center"/>
    </xf>
    <xf numFmtId="0" fontId="40" fillId="7" borderId="21" xfId="0" applyFont="1" applyFill="1" applyBorder="1" applyAlignment="1">
      <alignment horizontal="left" vertical="top"/>
    </xf>
    <xf numFmtId="0" fontId="1" fillId="2" borderId="2" xfId="0" applyFont="1" applyFill="1" applyBorder="1" applyAlignment="1">
      <alignment horizontal="left" vertical="center" wrapText="1"/>
    </xf>
    <xf numFmtId="0" fontId="6" fillId="0" borderId="3" xfId="0" applyFont="1" applyBorder="1"/>
    <xf numFmtId="0" fontId="7" fillId="2" borderId="2" xfId="0" applyFont="1" applyFill="1" applyBorder="1" applyAlignment="1">
      <alignment vertical="center"/>
    </xf>
    <xf numFmtId="2" fontId="39" fillId="7" borderId="17" xfId="0" applyNumberFormat="1" applyFont="1" applyFill="1" applyBorder="1" applyAlignment="1">
      <alignment horizontal="center" vertical="center"/>
    </xf>
    <xf numFmtId="2" fontId="39" fillId="7" borderId="20" xfId="0" applyNumberFormat="1" applyFont="1" applyFill="1" applyBorder="1" applyAlignment="1">
      <alignment horizontal="center" vertical="center"/>
    </xf>
    <xf numFmtId="0" fontId="40" fillId="7" borderId="18" xfId="0" applyFont="1" applyFill="1" applyBorder="1" applyAlignment="1">
      <alignment horizontal="center" vertical="center"/>
    </xf>
    <xf numFmtId="0" fontId="40" fillId="7" borderId="21" xfId="0" applyFont="1" applyFill="1" applyBorder="1" applyAlignment="1">
      <alignment horizontal="center" vertical="center"/>
    </xf>
    <xf numFmtId="0" fontId="40" fillId="7" borderId="18" xfId="0" applyFont="1" applyFill="1" applyBorder="1" applyAlignment="1">
      <alignment horizontal="right" vertical="center"/>
    </xf>
    <xf numFmtId="0" fontId="40" fillId="7" borderId="15" xfId="0" applyFont="1" applyFill="1" applyBorder="1" applyAlignment="1">
      <alignment horizontal="right" vertical="center"/>
    </xf>
    <xf numFmtId="0" fontId="40" fillId="7" borderId="16" xfId="0" applyFont="1" applyFill="1" applyBorder="1" applyAlignment="1">
      <alignment horizontal="center" vertical="center"/>
    </xf>
    <xf numFmtId="0" fontId="40" fillId="7" borderId="14" xfId="0" applyFont="1" applyFill="1" applyBorder="1" applyAlignment="1">
      <alignment horizontal="center" vertical="center"/>
    </xf>
    <xf numFmtId="0" fontId="40" fillId="7" borderId="19" xfId="0" applyFont="1" applyFill="1" applyBorder="1" applyAlignment="1">
      <alignment horizontal="center" vertical="center"/>
    </xf>
    <xf numFmtId="0" fontId="0" fillId="0" borderId="0" xfId="0" applyNumberFormat="1"/>
  </cellXfs>
  <cellStyles count="3">
    <cellStyle name="Normal" xfId="0" builtinId="0"/>
    <cellStyle name="Normal 2" xfId="2" xr:uid="{F9D56C48-FD0A-C549-905A-6A555927EF13}"/>
    <cellStyle name="Per cent" xfId="1" builtinId="5"/>
  </cellStyles>
  <dxfs count="6">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left" vertical="bottom" textRotation="0" wrapText="0" indent="0" justifyLastLine="0" shrinkToFit="0" readingOrder="0"/>
    </dxf>
    <dxf>
      <numFmt numFmtId="2" formatCode="0.00"/>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4.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microsoft.com/office/2007/relationships/slicerCache" Target="slicerCaches/slicerCache3.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'!$A$4:$A$12</c:f>
              <c:strCache>
                <c:ptCount val="8"/>
                <c:pt idx="0">
                  <c:v>Q1 FY24</c:v>
                </c:pt>
                <c:pt idx="1">
                  <c:v>Q1 FY25</c:v>
                </c:pt>
                <c:pt idx="2">
                  <c:v>Q2 FY24</c:v>
                </c:pt>
                <c:pt idx="3">
                  <c:v>Q2 FY25</c:v>
                </c:pt>
                <c:pt idx="4">
                  <c:v>Q3 FY24</c:v>
                </c:pt>
                <c:pt idx="5">
                  <c:v>Q3 FY25</c:v>
                </c:pt>
                <c:pt idx="6">
                  <c:v>Q4 FY24</c:v>
                </c:pt>
                <c:pt idx="7">
                  <c:v>Q4 FY25</c:v>
                </c:pt>
              </c:strCache>
            </c:strRef>
          </c:cat>
          <c:val>
            <c:numRef>
              <c:f>'Pivot Table '!$B$4:$B$12</c:f>
              <c:numCache>
                <c:formatCode>0.00</c:formatCode>
                <c:ptCount val="8"/>
                <c:pt idx="0">
                  <c:v>6.3187500000000005</c:v>
                </c:pt>
                <c:pt idx="1">
                  <c:v>5.2093750000000005</c:v>
                </c:pt>
                <c:pt idx="2">
                  <c:v>5.638461538461538</c:v>
                </c:pt>
                <c:pt idx="3">
                  <c:v>6.5113636363636367</c:v>
                </c:pt>
                <c:pt idx="4">
                  <c:v>6.256756756756757</c:v>
                </c:pt>
                <c:pt idx="5">
                  <c:v>8.4545454545454533</c:v>
                </c:pt>
                <c:pt idx="6">
                  <c:v>7.1619047619047649</c:v>
                </c:pt>
                <c:pt idx="7">
                  <c:v>4.489473684210525</c:v>
                </c:pt>
              </c:numCache>
            </c:numRef>
          </c:val>
          <c:extLst>
            <c:ext xmlns:c16="http://schemas.microsoft.com/office/drawing/2014/chart" uri="{C3380CC4-5D6E-409C-BE32-E72D297353CC}">
              <c16:uniqueId val="{00000000-F66E-E444-9F6D-B3DBF15A7A09}"/>
            </c:ext>
          </c:extLst>
        </c:ser>
        <c:dLbls>
          <c:showLegendKey val="0"/>
          <c:showVal val="0"/>
          <c:showCatName val="0"/>
          <c:showSerName val="0"/>
          <c:showPercent val="0"/>
          <c:showBubbleSize val="0"/>
        </c:dLbls>
        <c:gapWidth val="100"/>
        <c:overlap val="-24"/>
        <c:axId val="2039591616"/>
        <c:axId val="2039594304"/>
      </c:barChart>
      <c:catAx>
        <c:axId val="20395916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594304"/>
        <c:crosses val="autoZero"/>
        <c:auto val="1"/>
        <c:lblAlgn val="ctr"/>
        <c:lblOffset val="100"/>
        <c:noMultiLvlLbl val="0"/>
      </c:catAx>
      <c:valAx>
        <c:axId val="20395943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5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89491071207006E-2"/>
          <c:y val="5.9732442555210701E-2"/>
          <c:w val="0.7093730921000746"/>
          <c:h val="0.79291655801075811"/>
        </c:manualLayout>
      </c:layout>
      <c:lineChart>
        <c:grouping val="standard"/>
        <c:varyColors val="0"/>
        <c:ser>
          <c:idx val="0"/>
          <c:order val="0"/>
          <c:tx>
            <c:strRef>
              <c:f>'Pivot Table '!$B$19:$B$20</c:f>
              <c:strCache>
                <c:ptCount val="1"/>
                <c:pt idx="0">
                  <c:v>Apparel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'!$A$21:$A$29</c:f>
              <c:strCache>
                <c:ptCount val="8"/>
                <c:pt idx="0">
                  <c:v>Q1 FY24</c:v>
                </c:pt>
                <c:pt idx="1">
                  <c:v>Q1 FY25</c:v>
                </c:pt>
                <c:pt idx="2">
                  <c:v>Q2 FY24</c:v>
                </c:pt>
                <c:pt idx="3">
                  <c:v>Q2 FY25</c:v>
                </c:pt>
                <c:pt idx="4">
                  <c:v>Q3 FY24</c:v>
                </c:pt>
                <c:pt idx="5">
                  <c:v>Q3 FY25</c:v>
                </c:pt>
                <c:pt idx="6">
                  <c:v>Q4 FY24</c:v>
                </c:pt>
                <c:pt idx="7">
                  <c:v>Q4 FY25</c:v>
                </c:pt>
              </c:strCache>
            </c:strRef>
          </c:cat>
          <c:val>
            <c:numRef>
              <c:f>'Pivot Table '!$B$21:$B$29</c:f>
              <c:numCache>
                <c:formatCode>General</c:formatCode>
                <c:ptCount val="8"/>
                <c:pt idx="0">
                  <c:v>1249</c:v>
                </c:pt>
                <c:pt idx="1">
                  <c:v>1122</c:v>
                </c:pt>
                <c:pt idx="2">
                  <c:v>2326</c:v>
                </c:pt>
                <c:pt idx="3">
                  <c:v>1040</c:v>
                </c:pt>
                <c:pt idx="4">
                  <c:v>802</c:v>
                </c:pt>
                <c:pt idx="5">
                  <c:v>893</c:v>
                </c:pt>
                <c:pt idx="6">
                  <c:v>1129</c:v>
                </c:pt>
                <c:pt idx="7">
                  <c:v>1065</c:v>
                </c:pt>
              </c:numCache>
            </c:numRef>
          </c:val>
          <c:smooth val="0"/>
          <c:extLst>
            <c:ext xmlns:c16="http://schemas.microsoft.com/office/drawing/2014/chart" uri="{C3380CC4-5D6E-409C-BE32-E72D297353CC}">
              <c16:uniqueId val="{00000000-3305-924A-BE3B-98612D910BB4}"/>
            </c:ext>
          </c:extLst>
        </c:ser>
        <c:ser>
          <c:idx val="1"/>
          <c:order val="1"/>
          <c:tx>
            <c:strRef>
              <c:f>'Pivot Table '!$C$19:$C$20</c:f>
              <c:strCache>
                <c:ptCount val="1"/>
                <c:pt idx="0">
                  <c:v>Fitness Equipment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'!$A$21:$A$29</c:f>
              <c:strCache>
                <c:ptCount val="8"/>
                <c:pt idx="0">
                  <c:v>Q1 FY24</c:v>
                </c:pt>
                <c:pt idx="1">
                  <c:v>Q1 FY25</c:v>
                </c:pt>
                <c:pt idx="2">
                  <c:v>Q2 FY24</c:v>
                </c:pt>
                <c:pt idx="3">
                  <c:v>Q2 FY25</c:v>
                </c:pt>
                <c:pt idx="4">
                  <c:v>Q3 FY24</c:v>
                </c:pt>
                <c:pt idx="5">
                  <c:v>Q3 FY25</c:v>
                </c:pt>
                <c:pt idx="6">
                  <c:v>Q4 FY24</c:v>
                </c:pt>
                <c:pt idx="7">
                  <c:v>Q4 FY25</c:v>
                </c:pt>
              </c:strCache>
            </c:strRef>
          </c:cat>
          <c:val>
            <c:numRef>
              <c:f>'Pivot Table '!$C$21:$C$29</c:f>
              <c:numCache>
                <c:formatCode>General</c:formatCode>
                <c:ptCount val="8"/>
                <c:pt idx="0">
                  <c:v>1814</c:v>
                </c:pt>
                <c:pt idx="1">
                  <c:v>820</c:v>
                </c:pt>
                <c:pt idx="2">
                  <c:v>1591</c:v>
                </c:pt>
                <c:pt idx="3">
                  <c:v>1562</c:v>
                </c:pt>
                <c:pt idx="4">
                  <c:v>880</c:v>
                </c:pt>
                <c:pt idx="5">
                  <c:v>1171</c:v>
                </c:pt>
                <c:pt idx="6">
                  <c:v>910</c:v>
                </c:pt>
                <c:pt idx="7">
                  <c:v>910</c:v>
                </c:pt>
              </c:numCache>
            </c:numRef>
          </c:val>
          <c:smooth val="0"/>
          <c:extLst>
            <c:ext xmlns:c16="http://schemas.microsoft.com/office/drawing/2014/chart" uri="{C3380CC4-5D6E-409C-BE32-E72D297353CC}">
              <c16:uniqueId val="{00000005-4B88-9A43-BE65-527F62AB1828}"/>
            </c:ext>
          </c:extLst>
        </c:ser>
        <c:ser>
          <c:idx val="2"/>
          <c:order val="2"/>
          <c:tx>
            <c:strRef>
              <c:f>'Pivot Table '!$D$19:$D$20</c:f>
              <c:strCache>
                <c:ptCount val="1"/>
                <c:pt idx="0">
                  <c:v>Footwear</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 '!$A$21:$A$29</c:f>
              <c:strCache>
                <c:ptCount val="8"/>
                <c:pt idx="0">
                  <c:v>Q1 FY24</c:v>
                </c:pt>
                <c:pt idx="1">
                  <c:v>Q1 FY25</c:v>
                </c:pt>
                <c:pt idx="2">
                  <c:v>Q2 FY24</c:v>
                </c:pt>
                <c:pt idx="3">
                  <c:v>Q2 FY25</c:v>
                </c:pt>
                <c:pt idx="4">
                  <c:v>Q3 FY24</c:v>
                </c:pt>
                <c:pt idx="5">
                  <c:v>Q3 FY25</c:v>
                </c:pt>
                <c:pt idx="6">
                  <c:v>Q4 FY24</c:v>
                </c:pt>
                <c:pt idx="7">
                  <c:v>Q4 FY25</c:v>
                </c:pt>
              </c:strCache>
            </c:strRef>
          </c:cat>
          <c:val>
            <c:numRef>
              <c:f>'Pivot Table '!$D$21:$D$29</c:f>
              <c:numCache>
                <c:formatCode>General</c:formatCode>
                <c:ptCount val="8"/>
                <c:pt idx="0">
                  <c:v>1891</c:v>
                </c:pt>
                <c:pt idx="1">
                  <c:v>734</c:v>
                </c:pt>
                <c:pt idx="2">
                  <c:v>1275</c:v>
                </c:pt>
                <c:pt idx="3">
                  <c:v>1349</c:v>
                </c:pt>
                <c:pt idx="4">
                  <c:v>947</c:v>
                </c:pt>
                <c:pt idx="5">
                  <c:v>273</c:v>
                </c:pt>
                <c:pt idx="6">
                  <c:v>1594</c:v>
                </c:pt>
                <c:pt idx="7">
                  <c:v>1823</c:v>
                </c:pt>
              </c:numCache>
            </c:numRef>
          </c:val>
          <c:smooth val="0"/>
          <c:extLst>
            <c:ext xmlns:c16="http://schemas.microsoft.com/office/drawing/2014/chart" uri="{C3380CC4-5D6E-409C-BE32-E72D297353CC}">
              <c16:uniqueId val="{00000006-4B88-9A43-BE65-527F62AB1828}"/>
            </c:ext>
          </c:extLst>
        </c:ser>
        <c:ser>
          <c:idx val="3"/>
          <c:order val="3"/>
          <c:tx>
            <c:strRef>
              <c:f>'Pivot Table '!$E$19:$E$20</c:f>
              <c:strCache>
                <c:ptCount val="1"/>
                <c:pt idx="0">
                  <c:v>Outdoor &amp; Camping</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'Pivot Table '!$A$21:$A$29</c:f>
              <c:strCache>
                <c:ptCount val="8"/>
                <c:pt idx="0">
                  <c:v>Q1 FY24</c:v>
                </c:pt>
                <c:pt idx="1">
                  <c:v>Q1 FY25</c:v>
                </c:pt>
                <c:pt idx="2">
                  <c:v>Q2 FY24</c:v>
                </c:pt>
                <c:pt idx="3">
                  <c:v>Q2 FY25</c:v>
                </c:pt>
                <c:pt idx="4">
                  <c:v>Q3 FY24</c:v>
                </c:pt>
                <c:pt idx="5">
                  <c:v>Q3 FY25</c:v>
                </c:pt>
                <c:pt idx="6">
                  <c:v>Q4 FY24</c:v>
                </c:pt>
                <c:pt idx="7">
                  <c:v>Q4 FY25</c:v>
                </c:pt>
              </c:strCache>
            </c:strRef>
          </c:cat>
          <c:val>
            <c:numRef>
              <c:f>'Pivot Table '!$E$21:$E$29</c:f>
              <c:numCache>
                <c:formatCode>General</c:formatCode>
                <c:ptCount val="8"/>
                <c:pt idx="0">
                  <c:v>989</c:v>
                </c:pt>
                <c:pt idx="1">
                  <c:v>755</c:v>
                </c:pt>
                <c:pt idx="2">
                  <c:v>1378</c:v>
                </c:pt>
                <c:pt idx="3">
                  <c:v>1411</c:v>
                </c:pt>
                <c:pt idx="4">
                  <c:v>811</c:v>
                </c:pt>
                <c:pt idx="5">
                  <c:v>1115</c:v>
                </c:pt>
                <c:pt idx="6">
                  <c:v>1089</c:v>
                </c:pt>
                <c:pt idx="7">
                  <c:v>939</c:v>
                </c:pt>
              </c:numCache>
            </c:numRef>
          </c:val>
          <c:smooth val="0"/>
          <c:extLst>
            <c:ext xmlns:c16="http://schemas.microsoft.com/office/drawing/2014/chart" uri="{C3380CC4-5D6E-409C-BE32-E72D297353CC}">
              <c16:uniqueId val="{00000007-4B88-9A43-BE65-527F62AB1828}"/>
            </c:ext>
          </c:extLst>
        </c:ser>
        <c:ser>
          <c:idx val="4"/>
          <c:order val="4"/>
          <c:tx>
            <c:strRef>
              <c:f>'Pivot Table '!$F$19:$F$20</c:f>
              <c:strCache>
                <c:ptCount val="1"/>
                <c:pt idx="0">
                  <c:v>Team Sports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 Table '!$A$21:$A$29</c:f>
              <c:strCache>
                <c:ptCount val="8"/>
                <c:pt idx="0">
                  <c:v>Q1 FY24</c:v>
                </c:pt>
                <c:pt idx="1">
                  <c:v>Q1 FY25</c:v>
                </c:pt>
                <c:pt idx="2">
                  <c:v>Q2 FY24</c:v>
                </c:pt>
                <c:pt idx="3">
                  <c:v>Q2 FY25</c:v>
                </c:pt>
                <c:pt idx="4">
                  <c:v>Q3 FY24</c:v>
                </c:pt>
                <c:pt idx="5">
                  <c:v>Q3 FY25</c:v>
                </c:pt>
                <c:pt idx="6">
                  <c:v>Q4 FY24</c:v>
                </c:pt>
                <c:pt idx="7">
                  <c:v>Q4 FY25</c:v>
                </c:pt>
              </c:strCache>
            </c:strRef>
          </c:cat>
          <c:val>
            <c:numRef>
              <c:f>'Pivot Table '!$F$21:$F$29</c:f>
              <c:numCache>
                <c:formatCode>General</c:formatCode>
                <c:ptCount val="8"/>
                <c:pt idx="0">
                  <c:v>882</c:v>
                </c:pt>
                <c:pt idx="1">
                  <c:v>665</c:v>
                </c:pt>
                <c:pt idx="2">
                  <c:v>1402</c:v>
                </c:pt>
                <c:pt idx="3">
                  <c:v>1057</c:v>
                </c:pt>
                <c:pt idx="4">
                  <c:v>1242</c:v>
                </c:pt>
                <c:pt idx="5">
                  <c:v>981</c:v>
                </c:pt>
                <c:pt idx="6">
                  <c:v>898</c:v>
                </c:pt>
                <c:pt idx="7">
                  <c:v>911</c:v>
                </c:pt>
              </c:numCache>
            </c:numRef>
          </c:val>
          <c:smooth val="0"/>
          <c:extLst>
            <c:ext xmlns:c16="http://schemas.microsoft.com/office/drawing/2014/chart" uri="{C3380CC4-5D6E-409C-BE32-E72D297353CC}">
              <c16:uniqueId val="{00000008-4B88-9A43-BE65-527F62AB1828}"/>
            </c:ext>
          </c:extLst>
        </c:ser>
        <c:dLbls>
          <c:showLegendKey val="0"/>
          <c:showVal val="0"/>
          <c:showCatName val="0"/>
          <c:showSerName val="0"/>
          <c:showPercent val="0"/>
          <c:showBubbleSize val="0"/>
        </c:dLbls>
        <c:marker val="1"/>
        <c:smooth val="0"/>
        <c:axId val="224482111"/>
        <c:axId val="224491967"/>
      </c:lineChart>
      <c:catAx>
        <c:axId val="224482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Fiscal Quarter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4491967"/>
        <c:crosses val="autoZero"/>
        <c:auto val="1"/>
        <c:lblAlgn val="ctr"/>
        <c:lblOffset val="100"/>
        <c:noMultiLvlLbl val="0"/>
      </c:catAx>
      <c:valAx>
        <c:axId val="2244919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Units Sold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44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 '!$C$48</c:f>
              <c:strCache>
                <c:ptCount val="1"/>
                <c:pt idx="0">
                  <c:v>Cost per unit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'!$B$49:$B$53</c:f>
              <c:strCache>
                <c:ptCount val="5"/>
                <c:pt idx="0">
                  <c:v>Central India</c:v>
                </c:pt>
                <c:pt idx="1">
                  <c:v>East India</c:v>
                </c:pt>
                <c:pt idx="2">
                  <c:v>North India</c:v>
                </c:pt>
                <c:pt idx="3">
                  <c:v>South India</c:v>
                </c:pt>
                <c:pt idx="4">
                  <c:v>West India</c:v>
                </c:pt>
              </c:strCache>
            </c:strRef>
          </c:cat>
          <c:val>
            <c:numRef>
              <c:f>'Pivot Table '!$C$49:$C$53</c:f>
              <c:numCache>
                <c:formatCode>General</c:formatCode>
                <c:ptCount val="5"/>
                <c:pt idx="0">
                  <c:v>37300</c:v>
                </c:pt>
                <c:pt idx="1">
                  <c:v>32100</c:v>
                </c:pt>
                <c:pt idx="2">
                  <c:v>37500</c:v>
                </c:pt>
                <c:pt idx="3">
                  <c:v>34300</c:v>
                </c:pt>
                <c:pt idx="4">
                  <c:v>33800</c:v>
                </c:pt>
              </c:numCache>
            </c:numRef>
          </c:val>
          <c:extLst>
            <c:ext xmlns:c16="http://schemas.microsoft.com/office/drawing/2014/chart" uri="{C3380CC4-5D6E-409C-BE32-E72D297353CC}">
              <c16:uniqueId val="{00000000-97ED-144A-BFDF-6158D7EE6DC6}"/>
            </c:ext>
          </c:extLst>
        </c:ser>
        <c:dLbls>
          <c:showLegendKey val="0"/>
          <c:showVal val="0"/>
          <c:showCatName val="0"/>
          <c:showSerName val="0"/>
          <c:showPercent val="0"/>
          <c:showBubbleSize val="0"/>
        </c:dLbls>
        <c:gapWidth val="100"/>
        <c:axId val="138436480"/>
        <c:axId val="138438272"/>
      </c:barChart>
      <c:catAx>
        <c:axId val="1384364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Region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438272"/>
        <c:crosses val="autoZero"/>
        <c:auto val="1"/>
        <c:lblAlgn val="ctr"/>
        <c:lblOffset val="100"/>
        <c:noMultiLvlLbl val="0"/>
      </c:catAx>
      <c:valAx>
        <c:axId val="13843827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Cost per unit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43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'!$A$65:$A$69</c:f>
              <c:strCache>
                <c:ptCount val="4"/>
                <c:pt idx="0">
                  <c:v>In-Store Purchase</c:v>
                </c:pt>
                <c:pt idx="1">
                  <c:v>Online Delivery</c:v>
                </c:pt>
                <c:pt idx="2">
                  <c:v>Return/Exchange</c:v>
                </c:pt>
                <c:pt idx="3">
                  <c:v>Store Pickup</c:v>
                </c:pt>
              </c:strCache>
            </c:strRef>
          </c:cat>
          <c:val>
            <c:numRef>
              <c:f>'Pivot Table '!$B$65:$B$69</c:f>
              <c:numCache>
                <c:formatCode>General</c:formatCode>
                <c:ptCount val="4"/>
                <c:pt idx="0">
                  <c:v>3.830337078651687</c:v>
                </c:pt>
                <c:pt idx="1">
                  <c:v>12.47</c:v>
                </c:pt>
                <c:pt idx="2">
                  <c:v>7.0679487179487142</c:v>
                </c:pt>
                <c:pt idx="3">
                  <c:v>2.9943820224719109</c:v>
                </c:pt>
              </c:numCache>
            </c:numRef>
          </c:val>
          <c:extLst>
            <c:ext xmlns:c16="http://schemas.microsoft.com/office/drawing/2014/chart" uri="{C3380CC4-5D6E-409C-BE32-E72D297353CC}">
              <c16:uniqueId val="{00000000-D6B6-9A43-9FD5-FD7B8EEE89A7}"/>
            </c:ext>
          </c:extLst>
        </c:ser>
        <c:dLbls>
          <c:showLegendKey val="0"/>
          <c:showVal val="0"/>
          <c:showCatName val="0"/>
          <c:showSerName val="0"/>
          <c:showPercent val="0"/>
          <c:showBubbleSize val="0"/>
        </c:dLbls>
        <c:gapWidth val="100"/>
        <c:axId val="141553472"/>
        <c:axId val="141551680"/>
      </c:barChart>
      <c:catAx>
        <c:axId val="1415534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Transaction type </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551680"/>
        <c:crosses val="autoZero"/>
        <c:auto val="1"/>
        <c:lblAlgn val="ctr"/>
        <c:lblOffset val="100"/>
        <c:noMultiLvlLbl val="0"/>
      </c:catAx>
      <c:valAx>
        <c:axId val="14155168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Average checkout time (min)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55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8552</xdr:colOff>
      <xdr:row>9</xdr:row>
      <xdr:rowOff>185882</xdr:rowOff>
    </xdr:from>
    <xdr:to>
      <xdr:col>7</xdr:col>
      <xdr:colOff>615757</xdr:colOff>
      <xdr:row>25</xdr:row>
      <xdr:rowOff>151961</xdr:rowOff>
    </xdr:to>
    <xdr:graphicFrame macro="">
      <xdr:nvGraphicFramePr>
        <xdr:cNvPr id="7" name="Chart 6">
          <a:extLst>
            <a:ext uri="{FF2B5EF4-FFF2-40B4-BE49-F238E27FC236}">
              <a16:creationId xmlns:a16="http://schemas.microsoft.com/office/drawing/2014/main" id="{9DDC9A92-46E2-4D40-88F5-B7EEC5ABD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836660</xdr:colOff>
      <xdr:row>9</xdr:row>
      <xdr:rowOff>166639</xdr:rowOff>
    </xdr:from>
    <xdr:to>
      <xdr:col>16</xdr:col>
      <xdr:colOff>1116061</xdr:colOff>
      <xdr:row>25</xdr:row>
      <xdr:rowOff>131005</xdr:rowOff>
    </xdr:to>
    <xdr:graphicFrame macro="">
      <xdr:nvGraphicFramePr>
        <xdr:cNvPr id="8" name="Chart 7">
          <a:extLst>
            <a:ext uri="{FF2B5EF4-FFF2-40B4-BE49-F238E27FC236}">
              <a16:creationId xmlns:a16="http://schemas.microsoft.com/office/drawing/2014/main" id="{DE98EDA8-FF90-E942-8685-4D89F0712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20782</xdr:colOff>
      <xdr:row>26</xdr:row>
      <xdr:rowOff>0</xdr:rowOff>
    </xdr:from>
    <xdr:to>
      <xdr:col>7</xdr:col>
      <xdr:colOff>635000</xdr:colOff>
      <xdr:row>41</xdr:row>
      <xdr:rowOff>173182</xdr:rowOff>
    </xdr:to>
    <xdr:graphicFrame macro="">
      <xdr:nvGraphicFramePr>
        <xdr:cNvPr id="9" name="Chart 8">
          <a:extLst>
            <a:ext uri="{FF2B5EF4-FFF2-40B4-BE49-F238E27FC236}">
              <a16:creationId xmlns:a16="http://schemas.microsoft.com/office/drawing/2014/main" id="{17079D57-2C0B-7B4A-9E30-FFDB74463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836660</xdr:colOff>
      <xdr:row>26</xdr:row>
      <xdr:rowOff>51185</xdr:rowOff>
    </xdr:from>
    <xdr:to>
      <xdr:col>16</xdr:col>
      <xdr:colOff>1135303</xdr:colOff>
      <xdr:row>41</xdr:row>
      <xdr:rowOff>153939</xdr:rowOff>
    </xdr:to>
    <xdr:graphicFrame macro="">
      <xdr:nvGraphicFramePr>
        <xdr:cNvPr id="10" name="Chart 9">
          <a:extLst>
            <a:ext uri="{FF2B5EF4-FFF2-40B4-BE49-F238E27FC236}">
              <a16:creationId xmlns:a16="http://schemas.microsoft.com/office/drawing/2014/main" id="{A1B1D93D-A422-8546-A2AC-41A582DA9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135467</xdr:colOff>
      <xdr:row>25</xdr:row>
      <xdr:rowOff>127000</xdr:rowOff>
    </xdr:from>
    <xdr:to>
      <xdr:col>19</xdr:col>
      <xdr:colOff>254000</xdr:colOff>
      <xdr:row>38</xdr:row>
      <xdr:rowOff>118533</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B5365C10-7A88-9848-B07D-7CB1A9C6F6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54571" y="5244910"/>
              <a:ext cx="1786593" cy="24557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96212</xdr:colOff>
      <xdr:row>0</xdr:row>
      <xdr:rowOff>0</xdr:rowOff>
    </xdr:from>
    <xdr:to>
      <xdr:col>19</xdr:col>
      <xdr:colOff>265544</xdr:colOff>
      <xdr:row>11</xdr:row>
      <xdr:rowOff>54263</xdr:rowOff>
    </xdr:to>
    <mc:AlternateContent xmlns:mc="http://schemas.openxmlformats.org/markup-compatibility/2006" xmlns:a14="http://schemas.microsoft.com/office/drawing/2010/main">
      <mc:Choice Requires="a14">
        <xdr:graphicFrame macro="">
          <xdr:nvGraphicFramePr>
            <xdr:cNvPr id="15" name="Record ID">
              <a:extLst>
                <a:ext uri="{FF2B5EF4-FFF2-40B4-BE49-F238E27FC236}">
                  <a16:creationId xmlns:a16="http://schemas.microsoft.com/office/drawing/2014/main" id="{BA5E24B6-9A97-3046-A332-03C0B22CA5AE}"/>
                </a:ext>
              </a:extLst>
            </xdr:cNvPr>
            <xdr:cNvGraphicFramePr/>
          </xdr:nvGraphicFramePr>
          <xdr:xfrm>
            <a:off x="0" y="0"/>
            <a:ext cx="0" cy="0"/>
          </xdr:xfrm>
          <a:graphic>
            <a:graphicData uri="http://schemas.microsoft.com/office/drawing/2010/slicer">
              <sle:slicer xmlns:sle="http://schemas.microsoft.com/office/drawing/2010/slicer" name="Record ID"/>
            </a:graphicData>
          </a:graphic>
        </xdr:graphicFrame>
      </mc:Choice>
      <mc:Fallback xmlns="">
        <xdr:sp macro="" textlink="">
          <xdr:nvSpPr>
            <xdr:cNvPr id="0" name=""/>
            <xdr:cNvSpPr>
              <a:spLocks noTextEdit="1"/>
            </xdr:cNvSpPr>
          </xdr:nvSpPr>
          <xdr:spPr>
            <a:xfrm>
              <a:off x="15715316" y="0"/>
              <a:ext cx="1837392" cy="25184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135467</xdr:colOff>
      <xdr:row>11</xdr:row>
      <xdr:rowOff>156633</xdr:rowOff>
    </xdr:from>
    <xdr:to>
      <xdr:col>19</xdr:col>
      <xdr:colOff>254000</xdr:colOff>
      <xdr:row>24</xdr:row>
      <xdr:rowOff>148167</xdr:rowOff>
    </xdr:to>
    <mc:AlternateContent xmlns:mc="http://schemas.openxmlformats.org/markup-compatibility/2006" xmlns:a14="http://schemas.microsoft.com/office/drawing/2010/main">
      <mc:Choice Requires="a14">
        <xdr:graphicFrame macro="">
          <xdr:nvGraphicFramePr>
            <xdr:cNvPr id="16" name="Fiscal Quarter">
              <a:extLst>
                <a:ext uri="{FF2B5EF4-FFF2-40B4-BE49-F238E27FC236}">
                  <a16:creationId xmlns:a16="http://schemas.microsoft.com/office/drawing/2014/main" id="{C227F1CE-2188-8040-970D-CB9ED5378C75}"/>
                </a:ext>
              </a:extLst>
            </xdr:cNvPr>
            <xdr:cNvGraphicFramePr/>
          </xdr:nvGraphicFramePr>
          <xdr:xfrm>
            <a:off x="0" y="0"/>
            <a:ext cx="0" cy="0"/>
          </xdr:xfrm>
          <a:graphic>
            <a:graphicData uri="http://schemas.microsoft.com/office/drawing/2010/slicer">
              <sle:slicer xmlns:sle="http://schemas.microsoft.com/office/drawing/2010/slicer" name="Fiscal Quarter"/>
            </a:graphicData>
          </a:graphic>
        </xdr:graphicFrame>
      </mc:Choice>
      <mc:Fallback xmlns="">
        <xdr:sp macro="" textlink="">
          <xdr:nvSpPr>
            <xdr:cNvPr id="0" name=""/>
            <xdr:cNvSpPr>
              <a:spLocks noTextEdit="1"/>
            </xdr:cNvSpPr>
          </xdr:nvSpPr>
          <xdr:spPr>
            <a:xfrm>
              <a:off x="15754571" y="2620812"/>
              <a:ext cx="1786593" cy="24557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135467</xdr:colOff>
      <xdr:row>39</xdr:row>
      <xdr:rowOff>97367</xdr:rowOff>
    </xdr:from>
    <xdr:to>
      <xdr:col>19</xdr:col>
      <xdr:colOff>254000</xdr:colOff>
      <xdr:row>50</xdr:row>
      <xdr:rowOff>156633</xdr:rowOff>
    </xdr:to>
    <mc:AlternateContent xmlns:mc="http://schemas.openxmlformats.org/markup-compatibility/2006" xmlns:a14="http://schemas.microsoft.com/office/drawing/2010/main">
      <mc:Choice Requires="a14">
        <xdr:graphicFrame macro="">
          <xdr:nvGraphicFramePr>
            <xdr:cNvPr id="18" name="Product Category">
              <a:extLst>
                <a:ext uri="{FF2B5EF4-FFF2-40B4-BE49-F238E27FC236}">
                  <a16:creationId xmlns:a16="http://schemas.microsoft.com/office/drawing/2014/main" id="{3790D3AF-E0FE-F848-ABEF-8442DB1F307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754571" y="7869009"/>
              <a:ext cx="1786593" cy="23718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ibrary/Containers/net.whatsapp.WhatsApp/Data/tmp/documents/FF3869A3-7E4A-4B66-BFEF-D8ED396A1336/Group_Assignment_Correlation_Analysis.xlsx" TargetMode="External"/><Relationship Id="rId2" Type="http://schemas.openxmlformats.org/officeDocument/2006/relationships/externalLinkPath" Target="/Users/sanyam/Library/Containers/net.whatsapp.WhatsApp/Data/tmp/documents/FF3869A3-7E4A-4B66-BFEF-D8ED396A1336/Group_Assignment_Correlation_Analysis.xlsx" TargetMode="External"/><Relationship Id="rId1" Type="http://schemas.openxmlformats.org/officeDocument/2006/relationships/externalLinkPath" Target="/Users/sanyam/Library/Containers/net.whatsapp.WhatsApp/Data/tmp/documents/FF3869A3-7E4A-4B66-BFEF-D8ED396A1336/Group_Assignment_Correlation_Analysi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Library/Containers/net.whatsapp.WhatsApp/Data/tmp/documents/A1E40628-CEF0-4343-8189-6D72E3643747/Group%20Assignment.xlsx" TargetMode="External"/><Relationship Id="rId2" Type="http://schemas.openxmlformats.org/officeDocument/2006/relationships/externalLinkPath" Target="/Users/sanyam/Library/Containers/net.whatsapp.WhatsApp/Data/tmp/documents/A1E40628-CEF0-4343-8189-6D72E3643747/Group%20Assignment.xlsx" TargetMode="External"/><Relationship Id="rId1" Type="http://schemas.openxmlformats.org/officeDocument/2006/relationships/externalLinkPath" Target="/Users/sanyam/Library/Containers/net.whatsapp.WhatsApp/Data/tmp/documents/A1E40628-CEF0-4343-8189-6D72E3643747/Group%20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usiness_Case"/>
      <sheetName val="Dataset"/>
      <sheetName val="cleaned data "/>
      <sheetName val="Hypothesis Testing"/>
      <sheetName val="Correlation"/>
      <sheetName val="Questions"/>
    </sheetNames>
    <sheetDataSet>
      <sheetData sheetId="0" refreshError="1"/>
      <sheetData sheetId="1" refreshError="1"/>
      <sheetData sheetId="2">
        <row r="2">
          <cell r="F2">
            <v>97</v>
          </cell>
          <cell r="H2">
            <v>17.21</v>
          </cell>
        </row>
        <row r="3">
          <cell r="F3">
            <v>223</v>
          </cell>
          <cell r="H3">
            <v>53.03</v>
          </cell>
        </row>
        <row r="4">
          <cell r="F4">
            <v>99</v>
          </cell>
          <cell r="H4">
            <v>24.57</v>
          </cell>
        </row>
        <row r="5">
          <cell r="F5">
            <v>177</v>
          </cell>
          <cell r="H5">
            <v>40.17</v>
          </cell>
        </row>
        <row r="6">
          <cell r="F6">
            <v>35</v>
          </cell>
          <cell r="H6">
            <v>18.12</v>
          </cell>
        </row>
        <row r="7">
          <cell r="F7">
            <v>146</v>
          </cell>
          <cell r="H7">
            <v>67.599999999999994</v>
          </cell>
        </row>
        <row r="8">
          <cell r="F8">
            <v>197</v>
          </cell>
          <cell r="H8">
            <v>74.73</v>
          </cell>
        </row>
        <row r="9">
          <cell r="F9">
            <v>141</v>
          </cell>
          <cell r="H9">
            <v>30.82</v>
          </cell>
        </row>
        <row r="10">
          <cell r="F10">
            <v>137</v>
          </cell>
          <cell r="H10">
            <v>67.61</v>
          </cell>
        </row>
        <row r="11">
          <cell r="F11">
            <v>133</v>
          </cell>
          <cell r="H11">
            <v>61.89</v>
          </cell>
        </row>
        <row r="12">
          <cell r="F12">
            <v>202</v>
          </cell>
          <cell r="H12">
            <v>55.17</v>
          </cell>
        </row>
        <row r="13">
          <cell r="F13">
            <v>184</v>
          </cell>
          <cell r="H13">
            <v>57.11</v>
          </cell>
        </row>
        <row r="14">
          <cell r="F14">
            <v>167</v>
          </cell>
          <cell r="H14">
            <v>81.819999999999993</v>
          </cell>
        </row>
        <row r="15">
          <cell r="F15">
            <v>141</v>
          </cell>
          <cell r="H15">
            <v>30.94</v>
          </cell>
        </row>
        <row r="16">
          <cell r="F16">
            <v>123</v>
          </cell>
          <cell r="H16">
            <v>32.86</v>
          </cell>
        </row>
        <row r="17">
          <cell r="F17">
            <v>221</v>
          </cell>
          <cell r="H17">
            <v>66.83</v>
          </cell>
        </row>
        <row r="18">
          <cell r="F18">
            <v>234</v>
          </cell>
          <cell r="H18">
            <v>100.71</v>
          </cell>
        </row>
        <row r="19">
          <cell r="F19">
            <v>98</v>
          </cell>
          <cell r="H19">
            <v>54.65</v>
          </cell>
        </row>
        <row r="20">
          <cell r="F20">
            <v>84</v>
          </cell>
          <cell r="H20">
            <v>41.26</v>
          </cell>
        </row>
        <row r="21">
          <cell r="F21">
            <v>122</v>
          </cell>
          <cell r="H21">
            <v>34.46</v>
          </cell>
        </row>
        <row r="22">
          <cell r="F22">
            <v>63</v>
          </cell>
          <cell r="H22">
            <v>27.4</v>
          </cell>
        </row>
        <row r="23">
          <cell r="F23">
            <v>152</v>
          </cell>
          <cell r="H23">
            <v>58.74</v>
          </cell>
        </row>
        <row r="24">
          <cell r="F24">
            <v>221</v>
          </cell>
          <cell r="H24">
            <v>46.37</v>
          </cell>
        </row>
        <row r="25">
          <cell r="F25">
            <v>93</v>
          </cell>
          <cell r="H25">
            <v>36.49</v>
          </cell>
        </row>
        <row r="26">
          <cell r="F26">
            <v>141</v>
          </cell>
          <cell r="H26">
            <v>63.78</v>
          </cell>
        </row>
        <row r="27">
          <cell r="F27">
            <v>119</v>
          </cell>
          <cell r="H27">
            <v>30.52</v>
          </cell>
        </row>
        <row r="28">
          <cell r="F28">
            <v>165</v>
          </cell>
          <cell r="H28">
            <v>57.54</v>
          </cell>
        </row>
        <row r="29">
          <cell r="F29">
            <v>158</v>
          </cell>
          <cell r="H29">
            <v>77.27</v>
          </cell>
        </row>
        <row r="30">
          <cell r="F30">
            <v>169</v>
          </cell>
          <cell r="H30">
            <v>82.61</v>
          </cell>
        </row>
        <row r="31">
          <cell r="F31">
            <v>106</v>
          </cell>
          <cell r="H31">
            <v>52.99</v>
          </cell>
        </row>
        <row r="32">
          <cell r="F32">
            <v>153</v>
          </cell>
          <cell r="H32">
            <v>78.63</v>
          </cell>
        </row>
        <row r="33">
          <cell r="F33">
            <v>174</v>
          </cell>
          <cell r="H33">
            <v>76.25</v>
          </cell>
        </row>
        <row r="34">
          <cell r="F34">
            <v>95</v>
          </cell>
          <cell r="H34">
            <v>17.75</v>
          </cell>
        </row>
        <row r="35">
          <cell r="F35">
            <v>69</v>
          </cell>
          <cell r="H35">
            <v>14.14</v>
          </cell>
        </row>
        <row r="36">
          <cell r="F36">
            <v>138</v>
          </cell>
          <cell r="H36">
            <v>74.540000000000006</v>
          </cell>
        </row>
        <row r="37">
          <cell r="F37">
            <v>151</v>
          </cell>
          <cell r="H37">
            <v>50.56</v>
          </cell>
        </row>
        <row r="38">
          <cell r="F38">
            <v>154</v>
          </cell>
          <cell r="H38">
            <v>35</v>
          </cell>
        </row>
        <row r="39">
          <cell r="F39">
            <v>204</v>
          </cell>
          <cell r="H39">
            <v>63.88</v>
          </cell>
        </row>
        <row r="40">
          <cell r="F40">
            <v>122</v>
          </cell>
          <cell r="H40">
            <v>41.48</v>
          </cell>
        </row>
        <row r="41">
          <cell r="F41">
            <v>191</v>
          </cell>
          <cell r="H41">
            <v>105.07</v>
          </cell>
        </row>
        <row r="42">
          <cell r="F42">
            <v>123</v>
          </cell>
          <cell r="H42">
            <v>43.04</v>
          </cell>
        </row>
        <row r="43">
          <cell r="F43">
            <v>169</v>
          </cell>
          <cell r="H43">
            <v>62.92</v>
          </cell>
        </row>
        <row r="44">
          <cell r="F44">
            <v>70</v>
          </cell>
          <cell r="H44">
            <v>16.670000000000002</v>
          </cell>
        </row>
        <row r="45">
          <cell r="F45">
            <v>218</v>
          </cell>
          <cell r="H45">
            <v>111.12</v>
          </cell>
        </row>
        <row r="46">
          <cell r="F46">
            <v>33</v>
          </cell>
          <cell r="H46">
            <v>4.78</v>
          </cell>
        </row>
        <row r="47">
          <cell r="F47">
            <v>99</v>
          </cell>
          <cell r="H47">
            <v>49.86</v>
          </cell>
        </row>
        <row r="48">
          <cell r="F48">
            <v>178</v>
          </cell>
          <cell r="H48">
            <v>37.450000000000003</v>
          </cell>
        </row>
        <row r="49">
          <cell r="F49">
            <v>192</v>
          </cell>
          <cell r="H49">
            <v>41.44</v>
          </cell>
        </row>
        <row r="50">
          <cell r="F50">
            <v>147</v>
          </cell>
          <cell r="H50">
            <v>70.52</v>
          </cell>
        </row>
        <row r="51">
          <cell r="F51">
            <v>206</v>
          </cell>
          <cell r="H51">
            <v>93.65</v>
          </cell>
        </row>
        <row r="52">
          <cell r="F52">
            <v>111</v>
          </cell>
          <cell r="H52">
            <v>53.3</v>
          </cell>
        </row>
        <row r="53">
          <cell r="F53">
            <v>188</v>
          </cell>
          <cell r="H53">
            <v>82.19</v>
          </cell>
        </row>
        <row r="54">
          <cell r="F54">
            <v>147</v>
          </cell>
          <cell r="H54">
            <v>49.36</v>
          </cell>
        </row>
        <row r="55">
          <cell r="F55">
            <v>63</v>
          </cell>
          <cell r="H55">
            <v>13.07</v>
          </cell>
        </row>
        <row r="56">
          <cell r="F56">
            <v>85</v>
          </cell>
          <cell r="H56">
            <v>40.770000000000003</v>
          </cell>
        </row>
        <row r="57">
          <cell r="F57">
            <v>160</v>
          </cell>
          <cell r="H57">
            <v>60.91</v>
          </cell>
        </row>
        <row r="58">
          <cell r="F58">
            <v>159</v>
          </cell>
          <cell r="H58">
            <v>37.82</v>
          </cell>
        </row>
        <row r="59">
          <cell r="F59">
            <v>193</v>
          </cell>
          <cell r="H59">
            <v>101.61</v>
          </cell>
        </row>
        <row r="60">
          <cell r="F60">
            <v>128</v>
          </cell>
          <cell r="H60">
            <v>21.6</v>
          </cell>
        </row>
        <row r="61">
          <cell r="F61">
            <v>138</v>
          </cell>
          <cell r="H61">
            <v>74.12</v>
          </cell>
        </row>
        <row r="62">
          <cell r="F62">
            <v>202</v>
          </cell>
          <cell r="H62">
            <v>95.84</v>
          </cell>
        </row>
        <row r="63">
          <cell r="F63">
            <v>7</v>
          </cell>
          <cell r="H63">
            <v>5.59</v>
          </cell>
        </row>
        <row r="64">
          <cell r="F64">
            <v>88</v>
          </cell>
          <cell r="H64">
            <v>29.75</v>
          </cell>
        </row>
        <row r="65">
          <cell r="F65">
            <v>269</v>
          </cell>
          <cell r="H65">
            <v>146.08000000000001</v>
          </cell>
        </row>
        <row r="66">
          <cell r="F66">
            <v>89</v>
          </cell>
          <cell r="H66">
            <v>59.29</v>
          </cell>
        </row>
        <row r="67">
          <cell r="F67">
            <v>153</v>
          </cell>
          <cell r="H67">
            <v>22.49</v>
          </cell>
        </row>
        <row r="68">
          <cell r="F68">
            <v>230</v>
          </cell>
          <cell r="H68">
            <v>58.59</v>
          </cell>
        </row>
        <row r="69">
          <cell r="F69">
            <v>182</v>
          </cell>
          <cell r="H69">
            <v>27.26</v>
          </cell>
        </row>
        <row r="70">
          <cell r="F70">
            <v>152</v>
          </cell>
          <cell r="H70">
            <v>74.36</v>
          </cell>
        </row>
        <row r="71">
          <cell r="F71">
            <v>264</v>
          </cell>
          <cell r="H71">
            <v>89.99</v>
          </cell>
        </row>
        <row r="72">
          <cell r="F72">
            <v>160</v>
          </cell>
          <cell r="H72">
            <v>26.69</v>
          </cell>
        </row>
        <row r="73">
          <cell r="F73">
            <v>77</v>
          </cell>
          <cell r="H73">
            <v>17.66</v>
          </cell>
        </row>
        <row r="74">
          <cell r="F74">
            <v>139</v>
          </cell>
          <cell r="H74">
            <v>54.29</v>
          </cell>
        </row>
        <row r="75">
          <cell r="F75">
            <v>121</v>
          </cell>
          <cell r="H75">
            <v>39.06</v>
          </cell>
        </row>
        <row r="76">
          <cell r="F76">
            <v>220</v>
          </cell>
          <cell r="H76">
            <v>104.3</v>
          </cell>
        </row>
        <row r="77">
          <cell r="F77">
            <v>174</v>
          </cell>
          <cell r="H77">
            <v>33.17</v>
          </cell>
        </row>
        <row r="78">
          <cell r="F78">
            <v>119</v>
          </cell>
          <cell r="H78">
            <v>41.9</v>
          </cell>
        </row>
        <row r="79">
          <cell r="F79">
            <v>196</v>
          </cell>
          <cell r="H79">
            <v>30.23</v>
          </cell>
        </row>
        <row r="80">
          <cell r="F80">
            <v>146</v>
          </cell>
          <cell r="H80">
            <v>50.48</v>
          </cell>
        </row>
        <row r="81">
          <cell r="F81">
            <v>127</v>
          </cell>
          <cell r="H81">
            <v>67.34</v>
          </cell>
        </row>
        <row r="82">
          <cell r="F82">
            <v>148</v>
          </cell>
          <cell r="H82">
            <v>29.5</v>
          </cell>
        </row>
        <row r="83">
          <cell r="F83">
            <v>144</v>
          </cell>
          <cell r="H83">
            <v>48.79</v>
          </cell>
        </row>
        <row r="84">
          <cell r="F84">
            <v>186</v>
          </cell>
          <cell r="H84">
            <v>94.07</v>
          </cell>
        </row>
        <row r="85">
          <cell r="F85">
            <v>147</v>
          </cell>
          <cell r="H85">
            <v>57.69</v>
          </cell>
        </row>
        <row r="86">
          <cell r="F86">
            <v>98</v>
          </cell>
          <cell r="H86">
            <v>50.15</v>
          </cell>
        </row>
        <row r="87">
          <cell r="F87">
            <v>92</v>
          </cell>
          <cell r="H87">
            <v>57.61</v>
          </cell>
        </row>
        <row r="88">
          <cell r="F88">
            <v>34</v>
          </cell>
          <cell r="H88">
            <v>7.13</v>
          </cell>
        </row>
        <row r="89">
          <cell r="F89">
            <v>174</v>
          </cell>
          <cell r="H89">
            <v>81.290000000000006</v>
          </cell>
        </row>
        <row r="90">
          <cell r="F90">
            <v>123</v>
          </cell>
          <cell r="H90">
            <v>41.14</v>
          </cell>
        </row>
        <row r="91">
          <cell r="F91">
            <v>124</v>
          </cell>
          <cell r="H91">
            <v>51.35</v>
          </cell>
        </row>
        <row r="92">
          <cell r="F92">
            <v>243</v>
          </cell>
          <cell r="H92">
            <v>39.5</v>
          </cell>
        </row>
        <row r="93">
          <cell r="F93">
            <v>140</v>
          </cell>
          <cell r="H93">
            <v>23.82</v>
          </cell>
        </row>
        <row r="94">
          <cell r="F94">
            <v>224</v>
          </cell>
          <cell r="H94">
            <v>67.22</v>
          </cell>
        </row>
        <row r="95">
          <cell r="F95">
            <v>91</v>
          </cell>
          <cell r="H95">
            <v>39.11</v>
          </cell>
        </row>
        <row r="96">
          <cell r="F96">
            <v>236</v>
          </cell>
          <cell r="H96">
            <v>122.15</v>
          </cell>
        </row>
        <row r="97">
          <cell r="F97">
            <v>118</v>
          </cell>
          <cell r="H97">
            <v>46.21</v>
          </cell>
        </row>
        <row r="98">
          <cell r="F98">
            <v>158</v>
          </cell>
          <cell r="H98">
            <v>73.86</v>
          </cell>
        </row>
        <row r="99">
          <cell r="F99">
            <v>135</v>
          </cell>
          <cell r="H99">
            <v>78.84</v>
          </cell>
        </row>
        <row r="100">
          <cell r="F100">
            <v>225</v>
          </cell>
          <cell r="H100">
            <v>45.25</v>
          </cell>
        </row>
        <row r="101">
          <cell r="F101">
            <v>113</v>
          </cell>
          <cell r="H101">
            <v>24.55</v>
          </cell>
        </row>
        <row r="102">
          <cell r="F102">
            <v>164</v>
          </cell>
          <cell r="H102">
            <v>56.95</v>
          </cell>
        </row>
        <row r="103">
          <cell r="F103">
            <v>119</v>
          </cell>
          <cell r="H103">
            <v>28.63</v>
          </cell>
        </row>
        <row r="104">
          <cell r="F104">
            <v>159</v>
          </cell>
          <cell r="H104">
            <v>46.11</v>
          </cell>
        </row>
        <row r="105">
          <cell r="F105">
            <v>91</v>
          </cell>
          <cell r="H105">
            <v>23.32</v>
          </cell>
        </row>
        <row r="106">
          <cell r="F106">
            <v>23</v>
          </cell>
          <cell r="H106">
            <v>4.7</v>
          </cell>
        </row>
        <row r="107">
          <cell r="F107">
            <v>132</v>
          </cell>
          <cell r="H107">
            <v>61.59</v>
          </cell>
        </row>
        <row r="108">
          <cell r="F108">
            <v>141</v>
          </cell>
          <cell r="H108">
            <v>46.54</v>
          </cell>
        </row>
        <row r="109">
          <cell r="F109">
            <v>191</v>
          </cell>
          <cell r="H109">
            <v>53.59</v>
          </cell>
        </row>
        <row r="110">
          <cell r="F110">
            <v>139</v>
          </cell>
          <cell r="H110">
            <v>42.45</v>
          </cell>
        </row>
        <row r="111">
          <cell r="F111">
            <v>76</v>
          </cell>
          <cell r="H111">
            <v>38.049999999999997</v>
          </cell>
        </row>
        <row r="112">
          <cell r="F112">
            <v>77</v>
          </cell>
          <cell r="H112">
            <v>32.200000000000003</v>
          </cell>
        </row>
        <row r="113">
          <cell r="F113">
            <v>147</v>
          </cell>
          <cell r="H113">
            <v>60.49</v>
          </cell>
        </row>
        <row r="114">
          <cell r="F114">
            <v>155</v>
          </cell>
          <cell r="H114">
            <v>46.82</v>
          </cell>
        </row>
        <row r="115">
          <cell r="F115">
            <v>171</v>
          </cell>
          <cell r="H115">
            <v>54.43</v>
          </cell>
        </row>
        <row r="116">
          <cell r="F116">
            <v>190</v>
          </cell>
          <cell r="H116">
            <v>34.33</v>
          </cell>
        </row>
        <row r="117">
          <cell r="F117">
            <v>124</v>
          </cell>
          <cell r="H117">
            <v>28.4</v>
          </cell>
        </row>
        <row r="118">
          <cell r="F118">
            <v>238</v>
          </cell>
          <cell r="H118">
            <v>90.39</v>
          </cell>
        </row>
        <row r="119">
          <cell r="F119">
            <v>217</v>
          </cell>
          <cell r="H119">
            <v>114.54</v>
          </cell>
        </row>
        <row r="120">
          <cell r="F120">
            <v>165</v>
          </cell>
          <cell r="H120">
            <v>28.42</v>
          </cell>
        </row>
        <row r="121">
          <cell r="F121">
            <v>170</v>
          </cell>
          <cell r="H121">
            <v>92.28</v>
          </cell>
        </row>
        <row r="122">
          <cell r="F122">
            <v>131</v>
          </cell>
          <cell r="H122">
            <v>32.57</v>
          </cell>
        </row>
        <row r="123">
          <cell r="F123">
            <v>84</v>
          </cell>
          <cell r="H123">
            <v>29.67</v>
          </cell>
        </row>
        <row r="124">
          <cell r="F124">
            <v>102</v>
          </cell>
          <cell r="H124">
            <v>59.96</v>
          </cell>
        </row>
        <row r="125">
          <cell r="F125">
            <v>19</v>
          </cell>
          <cell r="H125">
            <v>1</v>
          </cell>
        </row>
        <row r="126">
          <cell r="F126">
            <v>206</v>
          </cell>
          <cell r="H126">
            <v>71.33</v>
          </cell>
        </row>
        <row r="127">
          <cell r="F127">
            <v>166</v>
          </cell>
          <cell r="H127">
            <v>55.63</v>
          </cell>
        </row>
        <row r="128">
          <cell r="F128">
            <v>110</v>
          </cell>
          <cell r="H128">
            <v>21.9</v>
          </cell>
        </row>
        <row r="129">
          <cell r="F129">
            <v>50</v>
          </cell>
          <cell r="H129">
            <v>9.2200000000000006</v>
          </cell>
        </row>
        <row r="130">
          <cell r="F130">
            <v>98</v>
          </cell>
          <cell r="H130">
            <v>21.75</v>
          </cell>
        </row>
        <row r="131">
          <cell r="F131">
            <v>222</v>
          </cell>
          <cell r="H131">
            <v>93.37</v>
          </cell>
        </row>
        <row r="132">
          <cell r="F132">
            <v>190</v>
          </cell>
          <cell r="H132">
            <v>35.99</v>
          </cell>
        </row>
        <row r="133">
          <cell r="F133">
            <v>216</v>
          </cell>
          <cell r="H133">
            <v>34.96</v>
          </cell>
        </row>
        <row r="134">
          <cell r="F134">
            <v>182</v>
          </cell>
          <cell r="H134">
            <v>55.95</v>
          </cell>
        </row>
        <row r="135">
          <cell r="F135">
            <v>113</v>
          </cell>
          <cell r="H135">
            <v>53.72</v>
          </cell>
        </row>
        <row r="136">
          <cell r="F136">
            <v>79</v>
          </cell>
          <cell r="H136">
            <v>41.83</v>
          </cell>
        </row>
        <row r="137">
          <cell r="F137">
            <v>87</v>
          </cell>
          <cell r="H137">
            <v>39.92</v>
          </cell>
        </row>
        <row r="138">
          <cell r="F138">
            <v>206</v>
          </cell>
          <cell r="H138">
            <v>66.59</v>
          </cell>
        </row>
        <row r="139">
          <cell r="F139">
            <v>282</v>
          </cell>
          <cell r="H139">
            <v>143.78</v>
          </cell>
        </row>
        <row r="140">
          <cell r="F140">
            <v>220</v>
          </cell>
          <cell r="H140">
            <v>56.58</v>
          </cell>
        </row>
        <row r="141">
          <cell r="F141">
            <v>172</v>
          </cell>
          <cell r="H141">
            <v>55.99</v>
          </cell>
        </row>
        <row r="142">
          <cell r="F142">
            <v>139</v>
          </cell>
          <cell r="H142">
            <v>43.91</v>
          </cell>
        </row>
        <row r="143">
          <cell r="F143">
            <v>98</v>
          </cell>
          <cell r="H143">
            <v>19.16</v>
          </cell>
        </row>
        <row r="144">
          <cell r="F144">
            <v>100</v>
          </cell>
          <cell r="H144">
            <v>55.81</v>
          </cell>
        </row>
        <row r="145">
          <cell r="F145">
            <v>119</v>
          </cell>
          <cell r="H145">
            <v>61.86</v>
          </cell>
        </row>
        <row r="146">
          <cell r="F146">
            <v>141</v>
          </cell>
          <cell r="H146">
            <v>10.45</v>
          </cell>
        </row>
        <row r="147">
          <cell r="F147">
            <v>78</v>
          </cell>
          <cell r="H147">
            <v>29.19</v>
          </cell>
        </row>
        <row r="148">
          <cell r="F148">
            <v>246</v>
          </cell>
          <cell r="H148">
            <v>106.02</v>
          </cell>
        </row>
        <row r="149">
          <cell r="F149">
            <v>155</v>
          </cell>
          <cell r="H149">
            <v>62.49</v>
          </cell>
        </row>
        <row r="150">
          <cell r="F150">
            <v>102</v>
          </cell>
          <cell r="H150">
            <v>54.2</v>
          </cell>
        </row>
        <row r="151">
          <cell r="F151">
            <v>168</v>
          </cell>
          <cell r="H151">
            <v>74.239999999999995</v>
          </cell>
        </row>
        <row r="152">
          <cell r="F152">
            <v>94</v>
          </cell>
          <cell r="H152">
            <v>23.37</v>
          </cell>
        </row>
        <row r="153">
          <cell r="F153">
            <v>188</v>
          </cell>
          <cell r="H153">
            <v>75.06</v>
          </cell>
        </row>
        <row r="154">
          <cell r="F154">
            <v>196</v>
          </cell>
          <cell r="H154">
            <v>109.99</v>
          </cell>
        </row>
        <row r="155">
          <cell r="F155">
            <v>82</v>
          </cell>
          <cell r="H155">
            <v>17.97</v>
          </cell>
        </row>
        <row r="156">
          <cell r="F156">
            <v>174</v>
          </cell>
          <cell r="H156">
            <v>66.489999999999995</v>
          </cell>
        </row>
        <row r="157">
          <cell r="F157">
            <v>125</v>
          </cell>
          <cell r="H157">
            <v>39.6</v>
          </cell>
        </row>
        <row r="158">
          <cell r="F158">
            <v>38</v>
          </cell>
          <cell r="H158">
            <v>8.76</v>
          </cell>
        </row>
        <row r="159">
          <cell r="F159">
            <v>23</v>
          </cell>
          <cell r="H159">
            <v>3.34</v>
          </cell>
        </row>
        <row r="160">
          <cell r="F160">
            <v>189</v>
          </cell>
          <cell r="H160">
            <v>72.31</v>
          </cell>
        </row>
        <row r="161">
          <cell r="F161">
            <v>108</v>
          </cell>
          <cell r="H161">
            <v>57.59</v>
          </cell>
        </row>
        <row r="162">
          <cell r="F162">
            <v>146</v>
          </cell>
          <cell r="H162">
            <v>38.24</v>
          </cell>
        </row>
        <row r="163">
          <cell r="F163">
            <v>53</v>
          </cell>
          <cell r="H163">
            <v>28.51</v>
          </cell>
        </row>
        <row r="164">
          <cell r="F164">
            <v>30</v>
          </cell>
          <cell r="H164">
            <v>15.82</v>
          </cell>
        </row>
        <row r="165">
          <cell r="F165">
            <v>108</v>
          </cell>
          <cell r="H165">
            <v>42.58</v>
          </cell>
        </row>
        <row r="166">
          <cell r="F166">
            <v>164</v>
          </cell>
          <cell r="H166">
            <v>71.819999999999993</v>
          </cell>
        </row>
        <row r="167">
          <cell r="F167">
            <v>140</v>
          </cell>
          <cell r="H167">
            <v>65.8</v>
          </cell>
        </row>
        <row r="168">
          <cell r="F168">
            <v>58</v>
          </cell>
          <cell r="H168">
            <v>14</v>
          </cell>
        </row>
        <row r="169">
          <cell r="F169">
            <v>224</v>
          </cell>
          <cell r="H169">
            <v>70.08</v>
          </cell>
        </row>
        <row r="170">
          <cell r="F170">
            <v>55</v>
          </cell>
          <cell r="H170">
            <v>19.649999999999999</v>
          </cell>
        </row>
        <row r="171">
          <cell r="F171">
            <v>151</v>
          </cell>
          <cell r="H171">
            <v>73.31</v>
          </cell>
        </row>
        <row r="172">
          <cell r="F172">
            <v>164</v>
          </cell>
          <cell r="H172">
            <v>75.099999999999994</v>
          </cell>
        </row>
        <row r="173">
          <cell r="F173">
            <v>165</v>
          </cell>
          <cell r="H173">
            <v>63.46</v>
          </cell>
        </row>
        <row r="174">
          <cell r="F174">
            <v>118</v>
          </cell>
          <cell r="H174">
            <v>39.08</v>
          </cell>
        </row>
        <row r="175">
          <cell r="F175">
            <v>225</v>
          </cell>
          <cell r="H175">
            <v>67.900000000000006</v>
          </cell>
        </row>
        <row r="176">
          <cell r="F176">
            <v>174</v>
          </cell>
          <cell r="H176">
            <v>67.02</v>
          </cell>
        </row>
        <row r="177">
          <cell r="F177">
            <v>270</v>
          </cell>
          <cell r="H177">
            <v>45.76</v>
          </cell>
        </row>
        <row r="178">
          <cell r="F178">
            <v>167</v>
          </cell>
          <cell r="H178">
            <v>74.290000000000006</v>
          </cell>
        </row>
        <row r="179">
          <cell r="F179">
            <v>44</v>
          </cell>
          <cell r="H179">
            <v>21.32</v>
          </cell>
        </row>
        <row r="180">
          <cell r="F180">
            <v>130</v>
          </cell>
          <cell r="H180">
            <v>70.5</v>
          </cell>
        </row>
        <row r="181">
          <cell r="F181">
            <v>257</v>
          </cell>
          <cell r="H181">
            <v>109.17</v>
          </cell>
        </row>
        <row r="182">
          <cell r="F182">
            <v>206</v>
          </cell>
          <cell r="H182">
            <v>46.04</v>
          </cell>
        </row>
        <row r="183">
          <cell r="F183">
            <v>204</v>
          </cell>
          <cell r="H183">
            <v>46.53</v>
          </cell>
        </row>
        <row r="184">
          <cell r="F184">
            <v>147</v>
          </cell>
          <cell r="H184">
            <v>84.65</v>
          </cell>
        </row>
        <row r="185">
          <cell r="F185">
            <v>207</v>
          </cell>
          <cell r="H185">
            <v>78.92</v>
          </cell>
        </row>
        <row r="186">
          <cell r="F186">
            <v>198</v>
          </cell>
          <cell r="H186">
            <v>76.16</v>
          </cell>
        </row>
        <row r="187">
          <cell r="F187">
            <v>57</v>
          </cell>
          <cell r="H187">
            <v>33.17</v>
          </cell>
        </row>
        <row r="188">
          <cell r="F188">
            <v>116</v>
          </cell>
          <cell r="H188">
            <v>45.35</v>
          </cell>
        </row>
        <row r="189">
          <cell r="F189">
            <v>184</v>
          </cell>
          <cell r="H189">
            <v>78.150000000000006</v>
          </cell>
        </row>
        <row r="190">
          <cell r="F190">
            <v>111</v>
          </cell>
          <cell r="H190">
            <v>53.02</v>
          </cell>
        </row>
        <row r="191">
          <cell r="F191">
            <v>171</v>
          </cell>
          <cell r="H191">
            <v>44.14</v>
          </cell>
        </row>
        <row r="192">
          <cell r="F192">
            <v>5</v>
          </cell>
          <cell r="H192">
            <v>2.64</v>
          </cell>
        </row>
        <row r="193">
          <cell r="F193">
            <v>180</v>
          </cell>
          <cell r="H193">
            <v>46.37</v>
          </cell>
        </row>
        <row r="194">
          <cell r="F194">
            <v>177</v>
          </cell>
          <cell r="H194">
            <v>64.13</v>
          </cell>
        </row>
        <row r="195">
          <cell r="F195">
            <v>270</v>
          </cell>
          <cell r="H195">
            <v>143.61000000000001</v>
          </cell>
        </row>
        <row r="196">
          <cell r="F196">
            <v>236</v>
          </cell>
          <cell r="H196">
            <v>41.64</v>
          </cell>
        </row>
        <row r="197">
          <cell r="F197">
            <v>187</v>
          </cell>
          <cell r="H197">
            <v>100.85</v>
          </cell>
        </row>
        <row r="198">
          <cell r="F198">
            <v>94</v>
          </cell>
          <cell r="H198">
            <v>45.74</v>
          </cell>
        </row>
        <row r="199">
          <cell r="F199">
            <v>215</v>
          </cell>
          <cell r="H199">
            <v>89.58</v>
          </cell>
        </row>
        <row r="200">
          <cell r="F200">
            <v>173</v>
          </cell>
          <cell r="H200">
            <v>72.92</v>
          </cell>
        </row>
        <row r="201">
          <cell r="F201">
            <v>178</v>
          </cell>
          <cell r="H201">
            <v>86.15</v>
          </cell>
        </row>
        <row r="202">
          <cell r="F202">
            <v>124</v>
          </cell>
          <cell r="H202">
            <v>53.98</v>
          </cell>
        </row>
        <row r="203">
          <cell r="F203">
            <v>173</v>
          </cell>
          <cell r="H203">
            <v>38.56</v>
          </cell>
        </row>
        <row r="204">
          <cell r="F204">
            <v>47</v>
          </cell>
          <cell r="H204">
            <v>30.73</v>
          </cell>
        </row>
        <row r="205">
          <cell r="F205">
            <v>27</v>
          </cell>
          <cell r="H205">
            <v>7.97</v>
          </cell>
        </row>
        <row r="206">
          <cell r="F206">
            <v>40</v>
          </cell>
          <cell r="H206">
            <v>13.19</v>
          </cell>
        </row>
        <row r="207">
          <cell r="F207">
            <v>169</v>
          </cell>
          <cell r="H207">
            <v>59.75</v>
          </cell>
        </row>
        <row r="208">
          <cell r="F208">
            <v>70</v>
          </cell>
          <cell r="H208">
            <v>14.83</v>
          </cell>
        </row>
        <row r="209">
          <cell r="F209">
            <v>25</v>
          </cell>
          <cell r="H209">
            <v>22.58</v>
          </cell>
        </row>
        <row r="210">
          <cell r="F210">
            <v>154</v>
          </cell>
          <cell r="H210">
            <v>43.98</v>
          </cell>
        </row>
        <row r="211">
          <cell r="F211">
            <v>93</v>
          </cell>
          <cell r="H211">
            <v>16.489999999999998</v>
          </cell>
        </row>
        <row r="212">
          <cell r="F212">
            <v>220</v>
          </cell>
          <cell r="H212">
            <v>69.3</v>
          </cell>
        </row>
        <row r="213">
          <cell r="F213">
            <v>92</v>
          </cell>
          <cell r="H213">
            <v>26.87</v>
          </cell>
        </row>
        <row r="214">
          <cell r="F214">
            <v>84</v>
          </cell>
          <cell r="H214">
            <v>21.42</v>
          </cell>
        </row>
        <row r="215">
          <cell r="F215">
            <v>253</v>
          </cell>
          <cell r="H215">
            <v>66.91</v>
          </cell>
        </row>
        <row r="216">
          <cell r="F216">
            <v>113</v>
          </cell>
          <cell r="H216">
            <v>46.37</v>
          </cell>
        </row>
        <row r="217">
          <cell r="F217">
            <v>136</v>
          </cell>
          <cell r="H217">
            <v>67.66</v>
          </cell>
        </row>
        <row r="218">
          <cell r="F218">
            <v>243</v>
          </cell>
          <cell r="H218">
            <v>78.42</v>
          </cell>
        </row>
        <row r="219">
          <cell r="F219">
            <v>168</v>
          </cell>
          <cell r="H219">
            <v>25.6</v>
          </cell>
        </row>
        <row r="220">
          <cell r="F220">
            <v>30</v>
          </cell>
          <cell r="H220">
            <v>4.5599999999999996</v>
          </cell>
        </row>
        <row r="221">
          <cell r="F221">
            <v>133</v>
          </cell>
          <cell r="H221">
            <v>48.9</v>
          </cell>
        </row>
        <row r="222">
          <cell r="F222">
            <v>78</v>
          </cell>
          <cell r="H222">
            <v>23.62</v>
          </cell>
        </row>
        <row r="223">
          <cell r="F223">
            <v>5</v>
          </cell>
          <cell r="H223">
            <v>5.39</v>
          </cell>
        </row>
        <row r="224">
          <cell r="F224">
            <v>71</v>
          </cell>
          <cell r="H224">
            <v>41.11</v>
          </cell>
        </row>
        <row r="225">
          <cell r="F225">
            <v>152</v>
          </cell>
          <cell r="H225">
            <v>57.05</v>
          </cell>
        </row>
        <row r="226">
          <cell r="F226">
            <v>136</v>
          </cell>
          <cell r="H226">
            <v>68.489999999999995</v>
          </cell>
        </row>
        <row r="227">
          <cell r="F227">
            <v>188</v>
          </cell>
          <cell r="H227">
            <v>80.44</v>
          </cell>
        </row>
        <row r="228">
          <cell r="F228">
            <v>98</v>
          </cell>
          <cell r="H228">
            <v>53.75</v>
          </cell>
        </row>
        <row r="229">
          <cell r="F229">
            <v>170</v>
          </cell>
          <cell r="H229">
            <v>35.64</v>
          </cell>
        </row>
        <row r="230">
          <cell r="F230">
            <v>110</v>
          </cell>
          <cell r="H230">
            <v>55.26</v>
          </cell>
        </row>
        <row r="231">
          <cell r="F231">
            <v>203</v>
          </cell>
          <cell r="H231">
            <v>116.15</v>
          </cell>
        </row>
        <row r="232">
          <cell r="F232">
            <v>141</v>
          </cell>
          <cell r="H232">
            <v>21.33</v>
          </cell>
        </row>
        <row r="233">
          <cell r="F233">
            <v>237</v>
          </cell>
          <cell r="H233">
            <v>56.33</v>
          </cell>
        </row>
        <row r="234">
          <cell r="F234">
            <v>5</v>
          </cell>
          <cell r="H234">
            <v>1</v>
          </cell>
        </row>
        <row r="235">
          <cell r="F235">
            <v>129</v>
          </cell>
          <cell r="H235">
            <v>28.42</v>
          </cell>
        </row>
        <row r="236">
          <cell r="F236">
            <v>125</v>
          </cell>
          <cell r="H236">
            <v>24.65</v>
          </cell>
        </row>
        <row r="237">
          <cell r="F237">
            <v>36</v>
          </cell>
          <cell r="H237">
            <v>10.77</v>
          </cell>
        </row>
        <row r="238">
          <cell r="F238">
            <v>17</v>
          </cell>
          <cell r="H238">
            <v>11.85</v>
          </cell>
        </row>
        <row r="239">
          <cell r="F239">
            <v>110</v>
          </cell>
          <cell r="H239">
            <v>45.41</v>
          </cell>
        </row>
        <row r="240">
          <cell r="F240">
            <v>81</v>
          </cell>
          <cell r="H240">
            <v>49.92</v>
          </cell>
        </row>
        <row r="241">
          <cell r="F241">
            <v>202</v>
          </cell>
          <cell r="H241">
            <v>33.03</v>
          </cell>
        </row>
        <row r="242">
          <cell r="F242">
            <v>16</v>
          </cell>
          <cell r="H242">
            <v>1</v>
          </cell>
        </row>
        <row r="243">
          <cell r="F243">
            <v>106</v>
          </cell>
          <cell r="H243">
            <v>60.38</v>
          </cell>
        </row>
        <row r="244">
          <cell r="F244">
            <v>141</v>
          </cell>
          <cell r="H244">
            <v>23.77</v>
          </cell>
        </row>
        <row r="245">
          <cell r="F245">
            <v>101</v>
          </cell>
          <cell r="H245">
            <v>31.98</v>
          </cell>
        </row>
        <row r="246">
          <cell r="F246">
            <v>127</v>
          </cell>
          <cell r="H246">
            <v>31.43</v>
          </cell>
        </row>
        <row r="247">
          <cell r="F247">
            <v>127</v>
          </cell>
          <cell r="H247">
            <v>67.31</v>
          </cell>
        </row>
        <row r="248">
          <cell r="F248">
            <v>198</v>
          </cell>
          <cell r="H248">
            <v>34.159999999999997</v>
          </cell>
        </row>
        <row r="249">
          <cell r="F249">
            <v>137</v>
          </cell>
          <cell r="H249">
            <v>31.18</v>
          </cell>
        </row>
        <row r="250">
          <cell r="F250">
            <v>212</v>
          </cell>
          <cell r="H250">
            <v>79.97</v>
          </cell>
        </row>
        <row r="251">
          <cell r="F251">
            <v>98</v>
          </cell>
          <cell r="H251">
            <v>21.46</v>
          </cell>
        </row>
        <row r="252">
          <cell r="F252">
            <v>163</v>
          </cell>
          <cell r="H252">
            <v>84.72</v>
          </cell>
        </row>
        <row r="253">
          <cell r="F253">
            <v>81</v>
          </cell>
          <cell r="H253">
            <v>31.68</v>
          </cell>
        </row>
        <row r="254">
          <cell r="F254">
            <v>117</v>
          </cell>
          <cell r="H254">
            <v>48.96</v>
          </cell>
        </row>
        <row r="255">
          <cell r="F255">
            <v>97</v>
          </cell>
          <cell r="H255">
            <v>48.73</v>
          </cell>
        </row>
        <row r="256">
          <cell r="F256">
            <v>123</v>
          </cell>
          <cell r="H256">
            <v>51.03</v>
          </cell>
        </row>
        <row r="257">
          <cell r="F257">
            <v>193</v>
          </cell>
          <cell r="H257">
            <v>33.76</v>
          </cell>
        </row>
        <row r="258">
          <cell r="F258">
            <v>73</v>
          </cell>
          <cell r="H258">
            <v>21.92</v>
          </cell>
        </row>
        <row r="259">
          <cell r="F259">
            <v>53</v>
          </cell>
          <cell r="H259">
            <v>23.45</v>
          </cell>
        </row>
        <row r="260">
          <cell r="F260">
            <v>164</v>
          </cell>
          <cell r="H260">
            <v>57.38</v>
          </cell>
        </row>
        <row r="261">
          <cell r="F261">
            <v>141</v>
          </cell>
          <cell r="H261">
            <v>28.41</v>
          </cell>
        </row>
        <row r="262">
          <cell r="F262">
            <v>97</v>
          </cell>
          <cell r="H262">
            <v>30.38</v>
          </cell>
        </row>
        <row r="263">
          <cell r="F263">
            <v>113</v>
          </cell>
          <cell r="H263">
            <v>48.12</v>
          </cell>
        </row>
        <row r="264">
          <cell r="F264">
            <v>51</v>
          </cell>
          <cell r="H264">
            <v>23</v>
          </cell>
        </row>
        <row r="265">
          <cell r="F265">
            <v>264</v>
          </cell>
          <cell r="H265">
            <v>84.62</v>
          </cell>
        </row>
        <row r="266">
          <cell r="F266">
            <v>127</v>
          </cell>
          <cell r="H266">
            <v>35.869999999999997</v>
          </cell>
        </row>
        <row r="267">
          <cell r="F267">
            <v>102</v>
          </cell>
          <cell r="H267">
            <v>17.21</v>
          </cell>
        </row>
        <row r="268">
          <cell r="F268">
            <v>139</v>
          </cell>
          <cell r="H268">
            <v>33.369999999999997</v>
          </cell>
        </row>
        <row r="269">
          <cell r="F269">
            <v>5</v>
          </cell>
          <cell r="H269">
            <v>1</v>
          </cell>
        </row>
        <row r="270">
          <cell r="F270">
            <v>161</v>
          </cell>
          <cell r="H270">
            <v>80.040000000000006</v>
          </cell>
        </row>
        <row r="271">
          <cell r="F271">
            <v>199</v>
          </cell>
          <cell r="H271">
            <v>25.14</v>
          </cell>
        </row>
        <row r="272">
          <cell r="F272">
            <v>124</v>
          </cell>
          <cell r="H272">
            <v>20.87</v>
          </cell>
        </row>
        <row r="273">
          <cell r="F273">
            <v>241</v>
          </cell>
          <cell r="H273">
            <v>65.819999999999993</v>
          </cell>
        </row>
        <row r="274">
          <cell r="F274">
            <v>212</v>
          </cell>
          <cell r="H274">
            <v>55.44</v>
          </cell>
        </row>
        <row r="275">
          <cell r="F275">
            <v>138</v>
          </cell>
          <cell r="H275">
            <v>57.47</v>
          </cell>
        </row>
        <row r="276">
          <cell r="F276">
            <v>132</v>
          </cell>
          <cell r="H276">
            <v>23.04</v>
          </cell>
        </row>
        <row r="277">
          <cell r="F277">
            <v>199</v>
          </cell>
          <cell r="H277">
            <v>88.89</v>
          </cell>
        </row>
        <row r="278">
          <cell r="F278">
            <v>139</v>
          </cell>
          <cell r="H278">
            <v>29.6</v>
          </cell>
        </row>
        <row r="279">
          <cell r="F279">
            <v>172</v>
          </cell>
          <cell r="H279">
            <v>42.56</v>
          </cell>
        </row>
        <row r="280">
          <cell r="F280">
            <v>142</v>
          </cell>
          <cell r="H280">
            <v>60.95</v>
          </cell>
        </row>
        <row r="281">
          <cell r="F281">
            <v>5</v>
          </cell>
          <cell r="H281">
            <v>1</v>
          </cell>
        </row>
        <row r="282">
          <cell r="F282">
            <v>117</v>
          </cell>
          <cell r="H282">
            <v>51.99</v>
          </cell>
        </row>
        <row r="283">
          <cell r="F283">
            <v>162</v>
          </cell>
          <cell r="H283">
            <v>27.72</v>
          </cell>
        </row>
        <row r="284">
          <cell r="F284">
            <v>101</v>
          </cell>
          <cell r="H284">
            <v>19.68</v>
          </cell>
        </row>
        <row r="285">
          <cell r="F285">
            <v>224</v>
          </cell>
          <cell r="H285">
            <v>62.72</v>
          </cell>
        </row>
        <row r="286">
          <cell r="F286">
            <v>123</v>
          </cell>
          <cell r="H286">
            <v>49.1</v>
          </cell>
        </row>
        <row r="287">
          <cell r="F287">
            <v>104</v>
          </cell>
          <cell r="H287">
            <v>51.14</v>
          </cell>
        </row>
        <row r="288">
          <cell r="F288">
            <v>176</v>
          </cell>
          <cell r="H288">
            <v>39.020000000000003</v>
          </cell>
        </row>
        <row r="289">
          <cell r="F289">
            <v>176</v>
          </cell>
          <cell r="H289">
            <v>61.14</v>
          </cell>
        </row>
        <row r="290">
          <cell r="F290">
            <v>161</v>
          </cell>
          <cell r="H290">
            <v>54.4</v>
          </cell>
        </row>
        <row r="291">
          <cell r="F291">
            <v>192</v>
          </cell>
          <cell r="H291">
            <v>86.11</v>
          </cell>
        </row>
        <row r="292">
          <cell r="F292">
            <v>158</v>
          </cell>
          <cell r="H292">
            <v>34.340000000000003</v>
          </cell>
        </row>
        <row r="293">
          <cell r="F293">
            <v>142</v>
          </cell>
          <cell r="H293">
            <v>65.41</v>
          </cell>
        </row>
        <row r="294">
          <cell r="F294">
            <v>56</v>
          </cell>
          <cell r="H294">
            <v>17.850000000000001</v>
          </cell>
        </row>
        <row r="295">
          <cell r="F295">
            <v>160</v>
          </cell>
          <cell r="H295">
            <v>53.97</v>
          </cell>
        </row>
        <row r="296">
          <cell r="F296">
            <v>184</v>
          </cell>
          <cell r="H296">
            <v>82.01</v>
          </cell>
        </row>
        <row r="297">
          <cell r="F297">
            <v>117</v>
          </cell>
          <cell r="H297">
            <v>17.899999999999999</v>
          </cell>
        </row>
        <row r="298">
          <cell r="F298">
            <v>105</v>
          </cell>
          <cell r="H298">
            <v>44.36</v>
          </cell>
        </row>
        <row r="299">
          <cell r="F299">
            <v>173</v>
          </cell>
          <cell r="H299">
            <v>57.84</v>
          </cell>
        </row>
        <row r="300">
          <cell r="F300">
            <v>96</v>
          </cell>
          <cell r="H300">
            <v>19.190000000000001</v>
          </cell>
        </row>
        <row r="301">
          <cell r="F301">
            <v>81</v>
          </cell>
          <cell r="H301">
            <v>26.91</v>
          </cell>
        </row>
        <row r="302">
          <cell r="F302">
            <v>149</v>
          </cell>
          <cell r="H302">
            <v>76.959999999999994</v>
          </cell>
        </row>
        <row r="303">
          <cell r="F303">
            <v>72</v>
          </cell>
          <cell r="H303">
            <v>19.11</v>
          </cell>
        </row>
        <row r="304">
          <cell r="F304">
            <v>154</v>
          </cell>
          <cell r="H304">
            <v>62.11</v>
          </cell>
        </row>
        <row r="305">
          <cell r="F305">
            <v>261</v>
          </cell>
          <cell r="H305">
            <v>76.819999999999993</v>
          </cell>
        </row>
        <row r="306">
          <cell r="F306">
            <v>162</v>
          </cell>
          <cell r="H306">
            <v>28.42</v>
          </cell>
        </row>
        <row r="307">
          <cell r="F307">
            <v>63</v>
          </cell>
          <cell r="H307">
            <v>31.16</v>
          </cell>
        </row>
        <row r="308">
          <cell r="F308">
            <v>156</v>
          </cell>
          <cell r="H308">
            <v>70.510000000000005</v>
          </cell>
        </row>
        <row r="309">
          <cell r="F309">
            <v>135</v>
          </cell>
          <cell r="H309">
            <v>21.02</v>
          </cell>
        </row>
        <row r="310">
          <cell r="F310">
            <v>213</v>
          </cell>
          <cell r="H310">
            <v>32.64</v>
          </cell>
        </row>
        <row r="311">
          <cell r="F311">
            <v>317</v>
          </cell>
          <cell r="H311">
            <v>89.69</v>
          </cell>
        </row>
        <row r="312">
          <cell r="F312">
            <v>174</v>
          </cell>
          <cell r="H312">
            <v>69.91</v>
          </cell>
        </row>
        <row r="313">
          <cell r="F313">
            <v>65</v>
          </cell>
          <cell r="H313">
            <v>16.91</v>
          </cell>
        </row>
        <row r="314">
          <cell r="F314">
            <v>209</v>
          </cell>
          <cell r="H314">
            <v>99.66</v>
          </cell>
        </row>
        <row r="315">
          <cell r="F315">
            <v>64</v>
          </cell>
          <cell r="H315">
            <v>26.16</v>
          </cell>
        </row>
        <row r="316">
          <cell r="F316">
            <v>189</v>
          </cell>
          <cell r="H316">
            <v>97.58</v>
          </cell>
        </row>
        <row r="317">
          <cell r="F317">
            <v>74</v>
          </cell>
          <cell r="H317">
            <v>1</v>
          </cell>
        </row>
        <row r="318">
          <cell r="F318">
            <v>46</v>
          </cell>
          <cell r="H318">
            <v>27.84</v>
          </cell>
        </row>
        <row r="319">
          <cell r="F319">
            <v>195</v>
          </cell>
          <cell r="H319">
            <v>95.83</v>
          </cell>
        </row>
        <row r="320">
          <cell r="F320">
            <v>126</v>
          </cell>
          <cell r="H320">
            <v>29.03</v>
          </cell>
        </row>
        <row r="321">
          <cell r="F321">
            <v>193</v>
          </cell>
          <cell r="H321">
            <v>44.08</v>
          </cell>
        </row>
        <row r="322">
          <cell r="F322">
            <v>181</v>
          </cell>
          <cell r="H322">
            <v>45.78</v>
          </cell>
        </row>
        <row r="323">
          <cell r="F323">
            <v>106</v>
          </cell>
          <cell r="H323">
            <v>39.96</v>
          </cell>
        </row>
        <row r="324">
          <cell r="F324">
            <v>33</v>
          </cell>
          <cell r="H324">
            <v>13.7</v>
          </cell>
        </row>
        <row r="325">
          <cell r="F325">
            <v>51</v>
          </cell>
          <cell r="H325">
            <v>21.44</v>
          </cell>
        </row>
        <row r="326">
          <cell r="F326">
            <v>141</v>
          </cell>
          <cell r="H326">
            <v>80.569999999999993</v>
          </cell>
        </row>
        <row r="327">
          <cell r="F327">
            <v>220</v>
          </cell>
          <cell r="H327">
            <v>49.53</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usiness_Case"/>
      <sheetName val="Dataset"/>
      <sheetName val="cleaned data "/>
      <sheetName val="Hypothesis Testing"/>
      <sheetName val="Linear Regression"/>
      <sheetName val="Questions"/>
    </sheetNames>
    <sheetDataSet>
      <sheetData sheetId="0"/>
      <sheetData sheetId="1"/>
      <sheetData sheetId="2">
        <row r="2">
          <cell r="F2">
            <v>97</v>
          </cell>
          <cell r="G2">
            <v>6.3</v>
          </cell>
          <cell r="H2">
            <v>17.21</v>
          </cell>
          <cell r="I2">
            <v>7.7</v>
          </cell>
        </row>
        <row r="3">
          <cell r="F3">
            <v>223</v>
          </cell>
          <cell r="G3">
            <v>2.4</v>
          </cell>
          <cell r="H3">
            <v>53.03</v>
          </cell>
          <cell r="I3">
            <v>7.1</v>
          </cell>
        </row>
        <row r="4">
          <cell r="F4">
            <v>99</v>
          </cell>
          <cell r="G4">
            <v>11</v>
          </cell>
          <cell r="H4">
            <v>24.57</v>
          </cell>
          <cell r="I4">
            <v>8</v>
          </cell>
        </row>
        <row r="5">
          <cell r="F5">
            <v>177</v>
          </cell>
          <cell r="G5">
            <v>2.1</v>
          </cell>
          <cell r="H5">
            <v>40.17</v>
          </cell>
          <cell r="I5">
            <v>8</v>
          </cell>
        </row>
        <row r="6">
          <cell r="F6">
            <v>35</v>
          </cell>
          <cell r="G6">
            <v>2.7</v>
          </cell>
          <cell r="H6">
            <v>18.12</v>
          </cell>
          <cell r="I6">
            <v>6.6</v>
          </cell>
        </row>
        <row r="7">
          <cell r="F7">
            <v>146</v>
          </cell>
          <cell r="G7">
            <v>9.1999999999999993</v>
          </cell>
          <cell r="H7">
            <v>67.599999999999994</v>
          </cell>
          <cell r="I7">
            <v>7.1</v>
          </cell>
        </row>
        <row r="8">
          <cell r="F8">
            <v>197</v>
          </cell>
          <cell r="G8">
            <v>3.1</v>
          </cell>
          <cell r="H8">
            <v>74.73</v>
          </cell>
          <cell r="I8">
            <v>8.3000000000000007</v>
          </cell>
        </row>
        <row r="9">
          <cell r="F9">
            <v>141</v>
          </cell>
          <cell r="G9">
            <v>7.3</v>
          </cell>
          <cell r="H9">
            <v>30.82</v>
          </cell>
          <cell r="I9">
            <v>8.6</v>
          </cell>
        </row>
        <row r="10">
          <cell r="F10">
            <v>137</v>
          </cell>
          <cell r="G10">
            <v>14.4</v>
          </cell>
          <cell r="H10">
            <v>67.61</v>
          </cell>
          <cell r="I10">
            <v>8.4</v>
          </cell>
        </row>
        <row r="11">
          <cell r="F11">
            <v>133</v>
          </cell>
          <cell r="G11">
            <v>17</v>
          </cell>
          <cell r="H11">
            <v>61.89</v>
          </cell>
          <cell r="I11">
            <v>9.9</v>
          </cell>
        </row>
        <row r="12">
          <cell r="F12">
            <v>202</v>
          </cell>
          <cell r="G12">
            <v>1.3</v>
          </cell>
          <cell r="H12">
            <v>55.17</v>
          </cell>
          <cell r="I12">
            <v>8.3000000000000007</v>
          </cell>
        </row>
        <row r="13">
          <cell r="F13">
            <v>184</v>
          </cell>
          <cell r="G13">
            <v>4.5</v>
          </cell>
          <cell r="H13">
            <v>57.11</v>
          </cell>
          <cell r="I13">
            <v>8.8000000000000007</v>
          </cell>
        </row>
        <row r="14">
          <cell r="F14">
            <v>167</v>
          </cell>
          <cell r="G14">
            <v>16</v>
          </cell>
          <cell r="H14">
            <v>81.819999999999993</v>
          </cell>
          <cell r="I14">
            <v>8.1999999999999993</v>
          </cell>
        </row>
        <row r="15">
          <cell r="F15">
            <v>141</v>
          </cell>
          <cell r="G15">
            <v>5.3</v>
          </cell>
          <cell r="H15">
            <v>30.94</v>
          </cell>
          <cell r="I15">
            <v>8.3000000000000007</v>
          </cell>
        </row>
        <row r="16">
          <cell r="F16">
            <v>123</v>
          </cell>
          <cell r="G16">
            <v>1.5</v>
          </cell>
          <cell r="H16">
            <v>32.86</v>
          </cell>
          <cell r="I16">
            <v>8.1</v>
          </cell>
        </row>
        <row r="17">
          <cell r="F17">
            <v>221</v>
          </cell>
          <cell r="G17">
            <v>11.5</v>
          </cell>
          <cell r="H17">
            <v>66.83</v>
          </cell>
          <cell r="I17">
            <v>6.8</v>
          </cell>
        </row>
        <row r="18">
          <cell r="F18">
            <v>234</v>
          </cell>
          <cell r="G18">
            <v>12.6</v>
          </cell>
          <cell r="H18">
            <v>100.71</v>
          </cell>
          <cell r="I18">
            <v>7.3</v>
          </cell>
        </row>
        <row r="19">
          <cell r="F19">
            <v>98</v>
          </cell>
          <cell r="G19">
            <v>2.4</v>
          </cell>
          <cell r="H19">
            <v>54.65</v>
          </cell>
          <cell r="I19">
            <v>8.8000000000000007</v>
          </cell>
        </row>
        <row r="20">
          <cell r="F20">
            <v>84</v>
          </cell>
          <cell r="G20">
            <v>3.9</v>
          </cell>
          <cell r="H20">
            <v>41.26</v>
          </cell>
          <cell r="I20">
            <v>9.6</v>
          </cell>
        </row>
        <row r="21">
          <cell r="F21">
            <v>122</v>
          </cell>
          <cell r="G21">
            <v>4</v>
          </cell>
          <cell r="H21">
            <v>34.46</v>
          </cell>
          <cell r="I21">
            <v>8.9</v>
          </cell>
        </row>
        <row r="22">
          <cell r="F22">
            <v>63</v>
          </cell>
          <cell r="G22">
            <v>3.1</v>
          </cell>
          <cell r="H22">
            <v>27.4</v>
          </cell>
          <cell r="I22">
            <v>7.9</v>
          </cell>
        </row>
        <row r="23">
          <cell r="F23">
            <v>152</v>
          </cell>
          <cell r="G23">
            <v>1.9</v>
          </cell>
          <cell r="H23">
            <v>58.74</v>
          </cell>
          <cell r="I23">
            <v>8.6</v>
          </cell>
        </row>
        <row r="24">
          <cell r="F24">
            <v>221</v>
          </cell>
          <cell r="G24">
            <v>1.8</v>
          </cell>
          <cell r="H24">
            <v>46.37</v>
          </cell>
          <cell r="I24">
            <v>6.8</v>
          </cell>
        </row>
        <row r="25">
          <cell r="F25">
            <v>93</v>
          </cell>
          <cell r="G25">
            <v>3</v>
          </cell>
          <cell r="H25">
            <v>36.49</v>
          </cell>
          <cell r="I25">
            <v>6.7</v>
          </cell>
        </row>
        <row r="26">
          <cell r="F26">
            <v>141</v>
          </cell>
          <cell r="G26">
            <v>7.3</v>
          </cell>
          <cell r="H26">
            <v>63.78</v>
          </cell>
          <cell r="I26">
            <v>8.9</v>
          </cell>
        </row>
        <row r="27">
          <cell r="F27">
            <v>119</v>
          </cell>
          <cell r="G27">
            <v>13.9</v>
          </cell>
          <cell r="H27">
            <v>30.52</v>
          </cell>
          <cell r="I27">
            <v>8.4</v>
          </cell>
        </row>
        <row r="28">
          <cell r="F28">
            <v>165</v>
          </cell>
          <cell r="G28">
            <v>7.7</v>
          </cell>
          <cell r="H28">
            <v>57.54</v>
          </cell>
          <cell r="I28">
            <v>8.6</v>
          </cell>
        </row>
        <row r="29">
          <cell r="F29">
            <v>158</v>
          </cell>
          <cell r="G29">
            <v>6.9</v>
          </cell>
          <cell r="H29">
            <v>77.27</v>
          </cell>
          <cell r="I29">
            <v>8.5</v>
          </cell>
        </row>
        <row r="30">
          <cell r="F30">
            <v>169</v>
          </cell>
          <cell r="G30">
            <v>2.5</v>
          </cell>
          <cell r="H30">
            <v>82.61</v>
          </cell>
          <cell r="I30">
            <v>8.4</v>
          </cell>
        </row>
        <row r="31">
          <cell r="F31">
            <v>106</v>
          </cell>
          <cell r="G31">
            <v>6</v>
          </cell>
          <cell r="H31">
            <v>52.99</v>
          </cell>
          <cell r="I31">
            <v>8.1999999999999993</v>
          </cell>
        </row>
        <row r="32">
          <cell r="F32">
            <v>153</v>
          </cell>
          <cell r="G32">
            <v>4.2</v>
          </cell>
          <cell r="H32">
            <v>78.63</v>
          </cell>
          <cell r="I32">
            <v>9</v>
          </cell>
        </row>
        <row r="33">
          <cell r="F33">
            <v>174</v>
          </cell>
          <cell r="G33">
            <v>4.4000000000000004</v>
          </cell>
          <cell r="H33">
            <v>76.25</v>
          </cell>
          <cell r="I33">
            <v>9.1</v>
          </cell>
        </row>
        <row r="34">
          <cell r="F34">
            <v>95</v>
          </cell>
          <cell r="G34">
            <v>4.5</v>
          </cell>
          <cell r="H34">
            <v>17.75</v>
          </cell>
          <cell r="I34">
            <v>7.6</v>
          </cell>
        </row>
        <row r="35">
          <cell r="F35">
            <v>69</v>
          </cell>
          <cell r="G35">
            <v>4.0999999999999996</v>
          </cell>
          <cell r="H35">
            <v>14.14</v>
          </cell>
          <cell r="I35">
            <v>8.3000000000000007</v>
          </cell>
        </row>
        <row r="36">
          <cell r="F36">
            <v>138</v>
          </cell>
          <cell r="G36">
            <v>2.4</v>
          </cell>
          <cell r="H36">
            <v>74.540000000000006</v>
          </cell>
          <cell r="I36">
            <v>9.1999999999999993</v>
          </cell>
        </row>
        <row r="37">
          <cell r="F37">
            <v>151</v>
          </cell>
          <cell r="G37">
            <v>13.8</v>
          </cell>
          <cell r="H37">
            <v>50.56</v>
          </cell>
          <cell r="I37">
            <v>10</v>
          </cell>
        </row>
        <row r="38">
          <cell r="F38">
            <v>154</v>
          </cell>
          <cell r="G38">
            <v>1.5</v>
          </cell>
          <cell r="H38">
            <v>35</v>
          </cell>
          <cell r="I38">
            <v>8.1999999999999993</v>
          </cell>
        </row>
        <row r="39">
          <cell r="F39">
            <v>204</v>
          </cell>
          <cell r="G39">
            <v>8</v>
          </cell>
          <cell r="H39">
            <v>63.88</v>
          </cell>
          <cell r="I39">
            <v>7.7</v>
          </cell>
        </row>
        <row r="40">
          <cell r="F40">
            <v>122</v>
          </cell>
          <cell r="G40">
            <v>3.3</v>
          </cell>
          <cell r="H40">
            <v>41.48</v>
          </cell>
          <cell r="I40">
            <v>7.2</v>
          </cell>
        </row>
        <row r="41">
          <cell r="F41">
            <v>191</v>
          </cell>
          <cell r="G41">
            <v>2.2000000000000002</v>
          </cell>
          <cell r="H41">
            <v>105.07</v>
          </cell>
          <cell r="I41">
            <v>6.9</v>
          </cell>
        </row>
        <row r="42">
          <cell r="F42">
            <v>123</v>
          </cell>
          <cell r="G42">
            <v>5.2</v>
          </cell>
          <cell r="H42">
            <v>43.04</v>
          </cell>
          <cell r="I42">
            <v>7.3</v>
          </cell>
        </row>
        <row r="43">
          <cell r="F43">
            <v>169</v>
          </cell>
          <cell r="G43">
            <v>6.4</v>
          </cell>
          <cell r="H43">
            <v>62.92</v>
          </cell>
          <cell r="I43">
            <v>7.9</v>
          </cell>
        </row>
        <row r="44">
          <cell r="F44">
            <v>70</v>
          </cell>
          <cell r="G44">
            <v>4</v>
          </cell>
          <cell r="H44">
            <v>16.670000000000002</v>
          </cell>
          <cell r="I44">
            <v>6.9</v>
          </cell>
        </row>
        <row r="45">
          <cell r="F45">
            <v>218</v>
          </cell>
          <cell r="G45">
            <v>3.2</v>
          </cell>
          <cell r="H45">
            <v>111.12</v>
          </cell>
          <cell r="I45">
            <v>9</v>
          </cell>
        </row>
        <row r="46">
          <cell r="F46">
            <v>33</v>
          </cell>
          <cell r="G46">
            <v>16.5</v>
          </cell>
          <cell r="H46">
            <v>4.78</v>
          </cell>
          <cell r="I46">
            <v>8.9</v>
          </cell>
        </row>
        <row r="47">
          <cell r="F47">
            <v>99</v>
          </cell>
          <cell r="G47">
            <v>3</v>
          </cell>
          <cell r="H47">
            <v>49.86</v>
          </cell>
          <cell r="I47">
            <v>7.3</v>
          </cell>
        </row>
        <row r="48">
          <cell r="F48">
            <v>178</v>
          </cell>
          <cell r="G48">
            <v>5.0999999999999996</v>
          </cell>
          <cell r="H48">
            <v>37.450000000000003</v>
          </cell>
          <cell r="I48">
            <v>6.9</v>
          </cell>
        </row>
        <row r="49">
          <cell r="F49">
            <v>192</v>
          </cell>
          <cell r="G49">
            <v>14.7</v>
          </cell>
          <cell r="H49">
            <v>41.44</v>
          </cell>
          <cell r="I49">
            <v>8.6</v>
          </cell>
        </row>
        <row r="50">
          <cell r="F50">
            <v>147</v>
          </cell>
          <cell r="G50">
            <v>2.1</v>
          </cell>
          <cell r="H50">
            <v>70.52</v>
          </cell>
          <cell r="I50">
            <v>9.4</v>
          </cell>
        </row>
        <row r="51">
          <cell r="F51">
            <v>206</v>
          </cell>
          <cell r="G51">
            <v>12.3</v>
          </cell>
          <cell r="H51">
            <v>93.65</v>
          </cell>
          <cell r="I51">
            <v>7</v>
          </cell>
        </row>
        <row r="52">
          <cell r="F52">
            <v>111</v>
          </cell>
          <cell r="G52">
            <v>9.1</v>
          </cell>
          <cell r="H52">
            <v>53.3</v>
          </cell>
          <cell r="I52">
            <v>7.9</v>
          </cell>
        </row>
        <row r="53">
          <cell r="F53">
            <v>188</v>
          </cell>
          <cell r="G53">
            <v>7.6</v>
          </cell>
          <cell r="H53">
            <v>82.19</v>
          </cell>
          <cell r="I53">
            <v>9.9</v>
          </cell>
        </row>
        <row r="54">
          <cell r="F54">
            <v>147</v>
          </cell>
          <cell r="G54">
            <v>3.3</v>
          </cell>
          <cell r="H54">
            <v>49.36</v>
          </cell>
          <cell r="I54">
            <v>9.1999999999999993</v>
          </cell>
        </row>
        <row r="55">
          <cell r="F55">
            <v>63</v>
          </cell>
          <cell r="G55">
            <v>9.1999999999999993</v>
          </cell>
          <cell r="H55">
            <v>13.07</v>
          </cell>
          <cell r="I55">
            <v>7.7</v>
          </cell>
        </row>
        <row r="56">
          <cell r="F56">
            <v>85</v>
          </cell>
          <cell r="G56">
            <v>11.4</v>
          </cell>
          <cell r="H56">
            <v>40.770000000000003</v>
          </cell>
          <cell r="I56">
            <v>8.3000000000000007</v>
          </cell>
        </row>
        <row r="57">
          <cell r="F57">
            <v>160</v>
          </cell>
          <cell r="G57">
            <v>16</v>
          </cell>
          <cell r="H57">
            <v>60.91</v>
          </cell>
          <cell r="I57">
            <v>6.4</v>
          </cell>
        </row>
        <row r="58">
          <cell r="F58">
            <v>159</v>
          </cell>
          <cell r="G58">
            <v>3.2</v>
          </cell>
          <cell r="H58">
            <v>37.82</v>
          </cell>
          <cell r="I58">
            <v>7.9</v>
          </cell>
        </row>
        <row r="59">
          <cell r="F59">
            <v>193</v>
          </cell>
          <cell r="G59">
            <v>15</v>
          </cell>
          <cell r="H59">
            <v>101.61</v>
          </cell>
          <cell r="I59">
            <v>8.6</v>
          </cell>
        </row>
        <row r="60">
          <cell r="F60">
            <v>128</v>
          </cell>
          <cell r="G60">
            <v>2</v>
          </cell>
          <cell r="H60">
            <v>21.6</v>
          </cell>
          <cell r="I60">
            <v>5.4</v>
          </cell>
        </row>
        <row r="61">
          <cell r="F61">
            <v>138</v>
          </cell>
          <cell r="G61">
            <v>4.5</v>
          </cell>
          <cell r="H61">
            <v>74.12</v>
          </cell>
          <cell r="I61">
            <v>7</v>
          </cell>
        </row>
        <row r="62">
          <cell r="F62">
            <v>202</v>
          </cell>
          <cell r="G62">
            <v>12.8</v>
          </cell>
          <cell r="H62">
            <v>95.84</v>
          </cell>
          <cell r="I62">
            <v>9.5</v>
          </cell>
        </row>
        <row r="63">
          <cell r="F63">
            <v>7</v>
          </cell>
          <cell r="G63">
            <v>8</v>
          </cell>
          <cell r="H63">
            <v>5.59</v>
          </cell>
          <cell r="I63">
            <v>8.4</v>
          </cell>
        </row>
        <row r="64">
          <cell r="F64">
            <v>88</v>
          </cell>
          <cell r="G64">
            <v>8.8000000000000007</v>
          </cell>
          <cell r="H64">
            <v>29.75</v>
          </cell>
          <cell r="I64">
            <v>8.5</v>
          </cell>
        </row>
        <row r="65">
          <cell r="F65">
            <v>269</v>
          </cell>
          <cell r="G65">
            <v>5.8</v>
          </cell>
          <cell r="H65">
            <v>146.08000000000001</v>
          </cell>
          <cell r="I65">
            <v>7.6</v>
          </cell>
        </row>
        <row r="66">
          <cell r="F66">
            <v>89</v>
          </cell>
          <cell r="G66">
            <v>3.6</v>
          </cell>
          <cell r="H66">
            <v>59.29</v>
          </cell>
          <cell r="I66">
            <v>6</v>
          </cell>
        </row>
        <row r="67">
          <cell r="F67">
            <v>153</v>
          </cell>
          <cell r="G67">
            <v>12.1</v>
          </cell>
          <cell r="H67">
            <v>22.49</v>
          </cell>
          <cell r="I67">
            <v>8.1999999999999993</v>
          </cell>
        </row>
        <row r="68">
          <cell r="F68">
            <v>230</v>
          </cell>
          <cell r="G68">
            <v>5.0999999999999996</v>
          </cell>
          <cell r="H68">
            <v>58.59</v>
          </cell>
          <cell r="I68">
            <v>7.8</v>
          </cell>
        </row>
        <row r="69">
          <cell r="F69">
            <v>182</v>
          </cell>
          <cell r="G69">
            <v>12.7</v>
          </cell>
          <cell r="H69">
            <v>27.26</v>
          </cell>
          <cell r="I69">
            <v>6.5</v>
          </cell>
        </row>
        <row r="70">
          <cell r="F70">
            <v>152</v>
          </cell>
          <cell r="G70">
            <v>4</v>
          </cell>
          <cell r="H70">
            <v>74.36</v>
          </cell>
          <cell r="I70">
            <v>6.5</v>
          </cell>
        </row>
        <row r="71">
          <cell r="F71">
            <v>264</v>
          </cell>
          <cell r="G71">
            <v>2.5</v>
          </cell>
          <cell r="H71">
            <v>89.99</v>
          </cell>
          <cell r="I71">
            <v>8.1999999999999993</v>
          </cell>
        </row>
        <row r="72">
          <cell r="F72">
            <v>160</v>
          </cell>
          <cell r="G72">
            <v>2.6</v>
          </cell>
          <cell r="H72">
            <v>26.69</v>
          </cell>
          <cell r="I72">
            <v>9.5</v>
          </cell>
        </row>
        <row r="73">
          <cell r="F73">
            <v>77</v>
          </cell>
          <cell r="G73">
            <v>2.1</v>
          </cell>
          <cell r="H73">
            <v>17.66</v>
          </cell>
          <cell r="I73">
            <v>8.1</v>
          </cell>
        </row>
        <row r="74">
          <cell r="F74">
            <v>139</v>
          </cell>
          <cell r="G74">
            <v>11</v>
          </cell>
          <cell r="H74">
            <v>54.29</v>
          </cell>
          <cell r="I74">
            <v>8.6999999999999993</v>
          </cell>
        </row>
        <row r="75">
          <cell r="F75">
            <v>121</v>
          </cell>
          <cell r="G75">
            <v>11.3</v>
          </cell>
          <cell r="H75">
            <v>39.06</v>
          </cell>
          <cell r="I75">
            <v>8.4</v>
          </cell>
        </row>
        <row r="76">
          <cell r="F76">
            <v>220</v>
          </cell>
          <cell r="G76">
            <v>14.6</v>
          </cell>
          <cell r="H76">
            <v>104.3</v>
          </cell>
          <cell r="I76">
            <v>7.7</v>
          </cell>
        </row>
        <row r="77">
          <cell r="F77">
            <v>174</v>
          </cell>
          <cell r="G77">
            <v>4.9000000000000004</v>
          </cell>
          <cell r="H77">
            <v>33.17</v>
          </cell>
          <cell r="I77">
            <v>7.9</v>
          </cell>
        </row>
        <row r="78">
          <cell r="F78">
            <v>119</v>
          </cell>
          <cell r="G78">
            <v>8.6</v>
          </cell>
          <cell r="H78">
            <v>41.9</v>
          </cell>
          <cell r="I78">
            <v>7.4</v>
          </cell>
        </row>
        <row r="79">
          <cell r="F79">
            <v>196</v>
          </cell>
          <cell r="G79">
            <v>2.1</v>
          </cell>
          <cell r="H79">
            <v>30.23</v>
          </cell>
          <cell r="I79">
            <v>9.8000000000000007</v>
          </cell>
        </row>
        <row r="80">
          <cell r="F80">
            <v>146</v>
          </cell>
          <cell r="G80">
            <v>3.4</v>
          </cell>
          <cell r="H80">
            <v>50.48</v>
          </cell>
          <cell r="I80">
            <v>7.4</v>
          </cell>
        </row>
        <row r="81">
          <cell r="F81">
            <v>127</v>
          </cell>
          <cell r="G81">
            <v>5.9</v>
          </cell>
          <cell r="H81">
            <v>67.34</v>
          </cell>
          <cell r="I81">
            <v>8.4</v>
          </cell>
        </row>
        <row r="82">
          <cell r="F82">
            <v>148</v>
          </cell>
          <cell r="G82">
            <v>4.7</v>
          </cell>
          <cell r="H82">
            <v>29.5</v>
          </cell>
          <cell r="I82">
            <v>6.5</v>
          </cell>
        </row>
        <row r="83">
          <cell r="F83">
            <v>144</v>
          </cell>
          <cell r="G83">
            <v>4.3</v>
          </cell>
          <cell r="H83">
            <v>48.79</v>
          </cell>
          <cell r="I83">
            <v>8.5</v>
          </cell>
        </row>
        <row r="84">
          <cell r="F84">
            <v>186</v>
          </cell>
          <cell r="G84">
            <v>8.5</v>
          </cell>
          <cell r="H84">
            <v>94.07</v>
          </cell>
          <cell r="I84">
            <v>6</v>
          </cell>
        </row>
        <row r="85">
          <cell r="F85">
            <v>147</v>
          </cell>
          <cell r="G85">
            <v>2.7</v>
          </cell>
          <cell r="H85">
            <v>57.69</v>
          </cell>
          <cell r="I85">
            <v>9.5</v>
          </cell>
        </row>
        <row r="86">
          <cell r="F86">
            <v>98</v>
          </cell>
          <cell r="G86">
            <v>1.1000000000000001</v>
          </cell>
          <cell r="H86">
            <v>50.15</v>
          </cell>
          <cell r="I86">
            <v>8.3000000000000007</v>
          </cell>
        </row>
        <row r="87">
          <cell r="F87">
            <v>92</v>
          </cell>
          <cell r="G87">
            <v>5.3</v>
          </cell>
          <cell r="H87">
            <v>57.61</v>
          </cell>
          <cell r="I87">
            <v>6.7</v>
          </cell>
        </row>
        <row r="88">
          <cell r="F88">
            <v>34</v>
          </cell>
          <cell r="G88">
            <v>3</v>
          </cell>
          <cell r="H88">
            <v>7.13</v>
          </cell>
          <cell r="I88">
            <v>5.3</v>
          </cell>
        </row>
        <row r="89">
          <cell r="F89">
            <v>174</v>
          </cell>
          <cell r="G89">
            <v>6.2</v>
          </cell>
          <cell r="H89">
            <v>81.290000000000006</v>
          </cell>
          <cell r="I89">
            <v>6.1</v>
          </cell>
        </row>
        <row r="90">
          <cell r="F90">
            <v>123</v>
          </cell>
          <cell r="G90">
            <v>7.7</v>
          </cell>
          <cell r="H90">
            <v>41.14</v>
          </cell>
          <cell r="I90">
            <v>7.3</v>
          </cell>
        </row>
        <row r="91">
          <cell r="F91">
            <v>124</v>
          </cell>
          <cell r="G91">
            <v>6.1</v>
          </cell>
          <cell r="H91">
            <v>51.35</v>
          </cell>
          <cell r="I91">
            <v>8.6999999999999993</v>
          </cell>
        </row>
        <row r="92">
          <cell r="F92">
            <v>243</v>
          </cell>
          <cell r="G92">
            <v>3.6</v>
          </cell>
          <cell r="H92">
            <v>39.5</v>
          </cell>
          <cell r="I92">
            <v>8.1</v>
          </cell>
        </row>
        <row r="93">
          <cell r="F93">
            <v>140</v>
          </cell>
          <cell r="G93">
            <v>1.9</v>
          </cell>
          <cell r="H93">
            <v>23.82</v>
          </cell>
          <cell r="I93">
            <v>8.9</v>
          </cell>
        </row>
        <row r="94">
          <cell r="F94">
            <v>224</v>
          </cell>
          <cell r="G94">
            <v>2.5</v>
          </cell>
          <cell r="H94">
            <v>67.22</v>
          </cell>
          <cell r="I94">
            <v>7.5</v>
          </cell>
        </row>
        <row r="95">
          <cell r="F95">
            <v>91</v>
          </cell>
          <cell r="G95">
            <v>0.9</v>
          </cell>
          <cell r="H95">
            <v>39.11</v>
          </cell>
          <cell r="I95">
            <v>9.4</v>
          </cell>
        </row>
        <row r="96">
          <cell r="F96">
            <v>236</v>
          </cell>
          <cell r="G96">
            <v>3.5</v>
          </cell>
          <cell r="H96">
            <v>122.15</v>
          </cell>
          <cell r="I96">
            <v>6.7</v>
          </cell>
        </row>
        <row r="97">
          <cell r="F97">
            <v>118</v>
          </cell>
          <cell r="G97">
            <v>5.5</v>
          </cell>
          <cell r="H97">
            <v>46.21</v>
          </cell>
          <cell r="I97">
            <v>9.6</v>
          </cell>
        </row>
        <row r="98">
          <cell r="F98">
            <v>158</v>
          </cell>
          <cell r="G98">
            <v>5.8</v>
          </cell>
          <cell r="H98">
            <v>73.86</v>
          </cell>
          <cell r="I98">
            <v>8.6999999999999993</v>
          </cell>
        </row>
        <row r="99">
          <cell r="F99">
            <v>135</v>
          </cell>
          <cell r="G99">
            <v>4.3</v>
          </cell>
          <cell r="H99">
            <v>78.84</v>
          </cell>
          <cell r="I99">
            <v>7.7</v>
          </cell>
        </row>
        <row r="100">
          <cell r="F100">
            <v>225</v>
          </cell>
          <cell r="G100">
            <v>2.7</v>
          </cell>
          <cell r="H100">
            <v>45.25</v>
          </cell>
          <cell r="I100">
            <v>6.6</v>
          </cell>
        </row>
        <row r="101">
          <cell r="F101">
            <v>113</v>
          </cell>
          <cell r="G101">
            <v>6.5</v>
          </cell>
          <cell r="H101">
            <v>24.55</v>
          </cell>
          <cell r="I101">
            <v>6.2</v>
          </cell>
        </row>
        <row r="102">
          <cell r="F102">
            <v>164</v>
          </cell>
          <cell r="G102">
            <v>6.1</v>
          </cell>
          <cell r="H102">
            <v>56.95</v>
          </cell>
          <cell r="I102">
            <v>8.5</v>
          </cell>
        </row>
        <row r="103">
          <cell r="F103">
            <v>119</v>
          </cell>
          <cell r="G103">
            <v>4.3</v>
          </cell>
          <cell r="H103">
            <v>28.63</v>
          </cell>
          <cell r="I103">
            <v>7.5</v>
          </cell>
        </row>
        <row r="104">
          <cell r="F104">
            <v>159</v>
          </cell>
          <cell r="G104">
            <v>7.4</v>
          </cell>
          <cell r="H104">
            <v>46.11</v>
          </cell>
          <cell r="I104">
            <v>6.7</v>
          </cell>
        </row>
        <row r="105">
          <cell r="F105">
            <v>91</v>
          </cell>
          <cell r="G105">
            <v>9.1</v>
          </cell>
          <cell r="H105">
            <v>23.32</v>
          </cell>
          <cell r="I105">
            <v>8.6999999999999993</v>
          </cell>
        </row>
        <row r="106">
          <cell r="F106">
            <v>23</v>
          </cell>
          <cell r="G106">
            <v>3.6</v>
          </cell>
          <cell r="H106">
            <v>4.7</v>
          </cell>
          <cell r="I106">
            <v>9.4</v>
          </cell>
        </row>
        <row r="107">
          <cell r="F107">
            <v>132</v>
          </cell>
          <cell r="G107">
            <v>4.4000000000000004</v>
          </cell>
          <cell r="H107">
            <v>61.59</v>
          </cell>
          <cell r="I107">
            <v>8.1</v>
          </cell>
        </row>
        <row r="108">
          <cell r="F108">
            <v>141</v>
          </cell>
          <cell r="G108">
            <v>2.6</v>
          </cell>
          <cell r="H108">
            <v>46.54</v>
          </cell>
          <cell r="I108">
            <v>7.4</v>
          </cell>
        </row>
        <row r="109">
          <cell r="F109">
            <v>191</v>
          </cell>
          <cell r="G109">
            <v>5.9</v>
          </cell>
          <cell r="H109">
            <v>53.59</v>
          </cell>
          <cell r="I109">
            <v>7.6</v>
          </cell>
        </row>
        <row r="110">
          <cell r="F110">
            <v>139</v>
          </cell>
          <cell r="G110">
            <v>10.1</v>
          </cell>
          <cell r="H110">
            <v>42.45</v>
          </cell>
          <cell r="I110">
            <v>7.3</v>
          </cell>
        </row>
        <row r="111">
          <cell r="F111">
            <v>76</v>
          </cell>
          <cell r="G111">
            <v>11.2</v>
          </cell>
          <cell r="H111">
            <v>38.049999999999997</v>
          </cell>
          <cell r="I111">
            <v>8.5</v>
          </cell>
        </row>
        <row r="112">
          <cell r="F112">
            <v>77</v>
          </cell>
          <cell r="G112">
            <v>1.8</v>
          </cell>
          <cell r="H112">
            <v>32.200000000000003</v>
          </cell>
          <cell r="I112">
            <v>7.8</v>
          </cell>
        </row>
        <row r="113">
          <cell r="F113">
            <v>147</v>
          </cell>
          <cell r="G113">
            <v>3.4</v>
          </cell>
          <cell r="H113">
            <v>60.49</v>
          </cell>
          <cell r="I113">
            <v>5.0999999999999996</v>
          </cell>
        </row>
        <row r="114">
          <cell r="F114">
            <v>155</v>
          </cell>
          <cell r="G114">
            <v>10.7</v>
          </cell>
          <cell r="H114">
            <v>46.82</v>
          </cell>
          <cell r="I114">
            <v>8.6</v>
          </cell>
        </row>
        <row r="115">
          <cell r="F115">
            <v>171</v>
          </cell>
          <cell r="G115">
            <v>6.7</v>
          </cell>
          <cell r="H115">
            <v>54.43</v>
          </cell>
          <cell r="I115">
            <v>7.7</v>
          </cell>
        </row>
        <row r="116">
          <cell r="F116">
            <v>190</v>
          </cell>
          <cell r="G116">
            <v>4.5</v>
          </cell>
          <cell r="H116">
            <v>34.33</v>
          </cell>
          <cell r="I116">
            <v>7.6</v>
          </cell>
        </row>
        <row r="117">
          <cell r="F117">
            <v>124</v>
          </cell>
          <cell r="G117">
            <v>3.2</v>
          </cell>
          <cell r="H117">
            <v>28.4</v>
          </cell>
          <cell r="I117">
            <v>7.3</v>
          </cell>
        </row>
        <row r="118">
          <cell r="F118">
            <v>238</v>
          </cell>
          <cell r="G118">
            <v>5.2</v>
          </cell>
          <cell r="H118">
            <v>90.39</v>
          </cell>
          <cell r="I118">
            <v>7.9</v>
          </cell>
        </row>
        <row r="119">
          <cell r="F119">
            <v>217</v>
          </cell>
          <cell r="G119">
            <v>4.3</v>
          </cell>
          <cell r="H119">
            <v>114.54</v>
          </cell>
          <cell r="I119">
            <v>7</v>
          </cell>
        </row>
        <row r="120">
          <cell r="F120">
            <v>165</v>
          </cell>
          <cell r="G120">
            <v>17.100000000000001</v>
          </cell>
          <cell r="H120">
            <v>28.42</v>
          </cell>
          <cell r="I120">
            <v>7.9</v>
          </cell>
        </row>
        <row r="121">
          <cell r="F121">
            <v>170</v>
          </cell>
          <cell r="G121">
            <v>9</v>
          </cell>
          <cell r="H121">
            <v>92.28</v>
          </cell>
          <cell r="I121">
            <v>8.1999999999999993</v>
          </cell>
        </row>
        <row r="122">
          <cell r="F122">
            <v>131</v>
          </cell>
          <cell r="G122">
            <v>5</v>
          </cell>
          <cell r="H122">
            <v>32.57</v>
          </cell>
          <cell r="I122">
            <v>8.6999999999999993</v>
          </cell>
        </row>
        <row r="123">
          <cell r="F123">
            <v>84</v>
          </cell>
          <cell r="G123">
            <v>8.9</v>
          </cell>
          <cell r="H123">
            <v>29.67</v>
          </cell>
          <cell r="I123">
            <v>9.5</v>
          </cell>
        </row>
        <row r="124">
          <cell r="F124">
            <v>102</v>
          </cell>
          <cell r="G124">
            <v>1.9</v>
          </cell>
          <cell r="H124">
            <v>59.96</v>
          </cell>
          <cell r="I124">
            <v>9.1</v>
          </cell>
        </row>
        <row r="125">
          <cell r="F125">
            <v>19</v>
          </cell>
          <cell r="G125">
            <v>2.6</v>
          </cell>
          <cell r="H125">
            <v>1</v>
          </cell>
          <cell r="I125">
            <v>7.8</v>
          </cell>
        </row>
        <row r="126">
          <cell r="F126">
            <v>206</v>
          </cell>
          <cell r="G126">
            <v>13.4</v>
          </cell>
          <cell r="H126">
            <v>71.33</v>
          </cell>
          <cell r="I126">
            <v>7.2</v>
          </cell>
        </row>
        <row r="127">
          <cell r="F127">
            <v>166</v>
          </cell>
          <cell r="G127">
            <v>2.5</v>
          </cell>
          <cell r="H127">
            <v>55.63</v>
          </cell>
          <cell r="I127">
            <v>7.1</v>
          </cell>
        </row>
        <row r="128">
          <cell r="F128">
            <v>110</v>
          </cell>
          <cell r="G128">
            <v>7.1</v>
          </cell>
          <cell r="H128">
            <v>21.9</v>
          </cell>
          <cell r="I128">
            <v>10</v>
          </cell>
        </row>
        <row r="129">
          <cell r="F129">
            <v>50</v>
          </cell>
          <cell r="G129">
            <v>5.8</v>
          </cell>
          <cell r="H129">
            <v>9.2200000000000006</v>
          </cell>
          <cell r="I129">
            <v>8</v>
          </cell>
        </row>
        <row r="130">
          <cell r="F130">
            <v>98</v>
          </cell>
          <cell r="G130">
            <v>3</v>
          </cell>
          <cell r="H130">
            <v>21.75</v>
          </cell>
          <cell r="I130">
            <v>6.7</v>
          </cell>
        </row>
        <row r="131">
          <cell r="F131">
            <v>222</v>
          </cell>
          <cell r="G131">
            <v>8.9</v>
          </cell>
          <cell r="H131">
            <v>93.37</v>
          </cell>
          <cell r="I131">
            <v>7.9</v>
          </cell>
        </row>
        <row r="132">
          <cell r="F132">
            <v>190</v>
          </cell>
          <cell r="G132">
            <v>5.2</v>
          </cell>
          <cell r="H132">
            <v>35.99</v>
          </cell>
          <cell r="I132">
            <v>8.3000000000000007</v>
          </cell>
        </row>
        <row r="133">
          <cell r="F133">
            <v>216</v>
          </cell>
          <cell r="G133">
            <v>4</v>
          </cell>
          <cell r="H133">
            <v>34.96</v>
          </cell>
          <cell r="I133">
            <v>7.2</v>
          </cell>
        </row>
        <row r="134">
          <cell r="F134">
            <v>182</v>
          </cell>
          <cell r="G134">
            <v>3</v>
          </cell>
          <cell r="H134">
            <v>55.95</v>
          </cell>
          <cell r="I134">
            <v>8.6999999999999993</v>
          </cell>
        </row>
        <row r="135">
          <cell r="F135">
            <v>113</v>
          </cell>
          <cell r="G135">
            <v>4.5</v>
          </cell>
          <cell r="H135">
            <v>53.72</v>
          </cell>
          <cell r="I135">
            <v>7.9</v>
          </cell>
        </row>
        <row r="136">
          <cell r="F136">
            <v>79</v>
          </cell>
          <cell r="G136">
            <v>2.6</v>
          </cell>
          <cell r="H136">
            <v>41.83</v>
          </cell>
          <cell r="I136">
            <v>8.4</v>
          </cell>
        </row>
        <row r="137">
          <cell r="F137">
            <v>87</v>
          </cell>
          <cell r="G137">
            <v>2.6</v>
          </cell>
          <cell r="H137">
            <v>39.92</v>
          </cell>
          <cell r="I137">
            <v>8.6999999999999993</v>
          </cell>
        </row>
        <row r="138">
          <cell r="F138">
            <v>206</v>
          </cell>
          <cell r="G138">
            <v>8.6</v>
          </cell>
          <cell r="H138">
            <v>66.59</v>
          </cell>
          <cell r="I138">
            <v>8.4</v>
          </cell>
        </row>
        <row r="139">
          <cell r="F139">
            <v>282</v>
          </cell>
          <cell r="G139">
            <v>2.4</v>
          </cell>
          <cell r="H139">
            <v>143.78</v>
          </cell>
          <cell r="I139">
            <v>8.1999999999999993</v>
          </cell>
        </row>
        <row r="140">
          <cell r="F140">
            <v>220</v>
          </cell>
          <cell r="G140">
            <v>6.8</v>
          </cell>
          <cell r="H140">
            <v>56.58</v>
          </cell>
          <cell r="I140">
            <v>8.1999999999999993</v>
          </cell>
        </row>
        <row r="141">
          <cell r="F141">
            <v>172</v>
          </cell>
          <cell r="G141">
            <v>6.5</v>
          </cell>
          <cell r="H141">
            <v>55.99</v>
          </cell>
          <cell r="I141">
            <v>10</v>
          </cell>
        </row>
        <row r="142">
          <cell r="F142">
            <v>139</v>
          </cell>
          <cell r="G142">
            <v>4.5</v>
          </cell>
          <cell r="H142">
            <v>43.91</v>
          </cell>
          <cell r="I142">
            <v>7.7</v>
          </cell>
        </row>
        <row r="143">
          <cell r="F143">
            <v>98</v>
          </cell>
          <cell r="G143">
            <v>6.2</v>
          </cell>
          <cell r="H143">
            <v>19.16</v>
          </cell>
          <cell r="I143">
            <v>8.9</v>
          </cell>
        </row>
        <row r="144">
          <cell r="F144">
            <v>100</v>
          </cell>
          <cell r="G144">
            <v>1.6</v>
          </cell>
          <cell r="H144">
            <v>55.81</v>
          </cell>
          <cell r="I144">
            <v>7.9</v>
          </cell>
        </row>
        <row r="145">
          <cell r="F145">
            <v>119</v>
          </cell>
          <cell r="G145">
            <v>6.2</v>
          </cell>
          <cell r="H145">
            <v>61.86</v>
          </cell>
          <cell r="I145">
            <v>8.5</v>
          </cell>
        </row>
        <row r="146">
          <cell r="F146">
            <v>141</v>
          </cell>
          <cell r="G146">
            <v>7.6</v>
          </cell>
          <cell r="H146">
            <v>10.45</v>
          </cell>
          <cell r="I146">
            <v>9.1</v>
          </cell>
        </row>
        <row r="147">
          <cell r="F147">
            <v>78</v>
          </cell>
          <cell r="G147">
            <v>4.4000000000000004</v>
          </cell>
          <cell r="H147">
            <v>29.19</v>
          </cell>
          <cell r="I147">
            <v>7.8</v>
          </cell>
        </row>
        <row r="148">
          <cell r="F148">
            <v>246</v>
          </cell>
          <cell r="G148">
            <v>6.5</v>
          </cell>
          <cell r="H148">
            <v>106.02</v>
          </cell>
          <cell r="I148">
            <v>8.3000000000000007</v>
          </cell>
        </row>
        <row r="149">
          <cell r="F149">
            <v>155</v>
          </cell>
          <cell r="G149">
            <v>12</v>
          </cell>
          <cell r="H149">
            <v>62.49</v>
          </cell>
          <cell r="I149">
            <v>10</v>
          </cell>
        </row>
        <row r="150">
          <cell r="F150">
            <v>102</v>
          </cell>
          <cell r="G150">
            <v>4.2</v>
          </cell>
          <cell r="H150">
            <v>54.2</v>
          </cell>
          <cell r="I150">
            <v>8.3000000000000007</v>
          </cell>
        </row>
        <row r="151">
          <cell r="F151">
            <v>168</v>
          </cell>
          <cell r="G151">
            <v>12.4</v>
          </cell>
          <cell r="H151">
            <v>74.239999999999995</v>
          </cell>
          <cell r="I151">
            <v>10</v>
          </cell>
        </row>
        <row r="152">
          <cell r="F152">
            <v>94</v>
          </cell>
          <cell r="G152">
            <v>2.4</v>
          </cell>
          <cell r="H152">
            <v>23.37</v>
          </cell>
          <cell r="I152">
            <v>8.4</v>
          </cell>
        </row>
        <row r="153">
          <cell r="F153">
            <v>188</v>
          </cell>
          <cell r="G153">
            <v>11.4</v>
          </cell>
          <cell r="H153">
            <v>75.06</v>
          </cell>
          <cell r="I153">
            <v>8.8000000000000007</v>
          </cell>
        </row>
        <row r="154">
          <cell r="F154">
            <v>196</v>
          </cell>
          <cell r="G154">
            <v>7.3</v>
          </cell>
          <cell r="H154">
            <v>109.99</v>
          </cell>
          <cell r="I154">
            <v>8</v>
          </cell>
        </row>
        <row r="155">
          <cell r="F155">
            <v>82</v>
          </cell>
          <cell r="G155">
            <v>6.3</v>
          </cell>
          <cell r="H155">
            <v>17.97</v>
          </cell>
          <cell r="I155">
            <v>5.9</v>
          </cell>
        </row>
        <row r="156">
          <cell r="F156">
            <v>174</v>
          </cell>
          <cell r="G156">
            <v>4</v>
          </cell>
          <cell r="H156">
            <v>66.489999999999995</v>
          </cell>
          <cell r="I156">
            <v>7.7</v>
          </cell>
        </row>
        <row r="157">
          <cell r="F157">
            <v>125</v>
          </cell>
          <cell r="G157">
            <v>5.8</v>
          </cell>
          <cell r="H157">
            <v>39.6</v>
          </cell>
          <cell r="I157">
            <v>8.8000000000000007</v>
          </cell>
        </row>
        <row r="158">
          <cell r="F158">
            <v>38</v>
          </cell>
          <cell r="G158">
            <v>3.1</v>
          </cell>
          <cell r="H158">
            <v>8.76</v>
          </cell>
          <cell r="I158">
            <v>5.7</v>
          </cell>
        </row>
        <row r="159">
          <cell r="F159">
            <v>23</v>
          </cell>
          <cell r="G159">
            <v>4.5</v>
          </cell>
          <cell r="H159">
            <v>3.34</v>
          </cell>
          <cell r="I159">
            <v>7.3</v>
          </cell>
        </row>
        <row r="160">
          <cell r="F160">
            <v>189</v>
          </cell>
          <cell r="G160">
            <v>8.1999999999999993</v>
          </cell>
          <cell r="H160">
            <v>72.31</v>
          </cell>
          <cell r="I160">
            <v>8.4</v>
          </cell>
        </row>
        <row r="161">
          <cell r="F161">
            <v>108</v>
          </cell>
          <cell r="G161">
            <v>3.4</v>
          </cell>
          <cell r="H161">
            <v>57.59</v>
          </cell>
          <cell r="I161">
            <v>9.6</v>
          </cell>
        </row>
        <row r="162">
          <cell r="F162">
            <v>146</v>
          </cell>
          <cell r="G162">
            <v>8</v>
          </cell>
          <cell r="H162">
            <v>38.24</v>
          </cell>
          <cell r="I162">
            <v>7.8</v>
          </cell>
        </row>
        <row r="163">
          <cell r="F163">
            <v>53</v>
          </cell>
          <cell r="G163">
            <v>13.9</v>
          </cell>
          <cell r="H163">
            <v>28.51</v>
          </cell>
          <cell r="I163">
            <v>5</v>
          </cell>
        </row>
        <row r="164">
          <cell r="F164">
            <v>30</v>
          </cell>
          <cell r="G164">
            <v>4.4000000000000004</v>
          </cell>
          <cell r="H164">
            <v>15.82</v>
          </cell>
          <cell r="I164">
            <v>7.9</v>
          </cell>
        </row>
        <row r="165">
          <cell r="F165">
            <v>108</v>
          </cell>
          <cell r="G165">
            <v>9.9</v>
          </cell>
          <cell r="H165">
            <v>42.58</v>
          </cell>
          <cell r="I165">
            <v>9.4</v>
          </cell>
        </row>
        <row r="166">
          <cell r="F166">
            <v>164</v>
          </cell>
          <cell r="G166">
            <v>4.5999999999999996</v>
          </cell>
          <cell r="H166">
            <v>71.819999999999993</v>
          </cell>
          <cell r="I166">
            <v>8.6</v>
          </cell>
        </row>
        <row r="167">
          <cell r="F167">
            <v>140</v>
          </cell>
          <cell r="G167">
            <v>2.1</v>
          </cell>
          <cell r="H167">
            <v>65.8</v>
          </cell>
          <cell r="I167">
            <v>8.5</v>
          </cell>
        </row>
        <row r="168">
          <cell r="F168">
            <v>58</v>
          </cell>
          <cell r="G168">
            <v>7.9</v>
          </cell>
          <cell r="H168">
            <v>14</v>
          </cell>
          <cell r="I168">
            <v>7.5</v>
          </cell>
        </row>
        <row r="169">
          <cell r="F169">
            <v>224</v>
          </cell>
          <cell r="G169">
            <v>3.9</v>
          </cell>
          <cell r="H169">
            <v>70.08</v>
          </cell>
          <cell r="I169">
            <v>8.1</v>
          </cell>
        </row>
        <row r="170">
          <cell r="F170">
            <v>55</v>
          </cell>
          <cell r="G170">
            <v>12.1</v>
          </cell>
          <cell r="H170">
            <v>19.649999999999999</v>
          </cell>
          <cell r="I170">
            <v>9.5</v>
          </cell>
        </row>
        <row r="171">
          <cell r="F171">
            <v>151</v>
          </cell>
          <cell r="G171">
            <v>3.9</v>
          </cell>
          <cell r="H171">
            <v>73.31</v>
          </cell>
          <cell r="I171">
            <v>8.1</v>
          </cell>
        </row>
        <row r="172">
          <cell r="F172">
            <v>164</v>
          </cell>
          <cell r="G172">
            <v>2.4</v>
          </cell>
          <cell r="H172">
            <v>75.099999999999994</v>
          </cell>
          <cell r="I172">
            <v>9.4</v>
          </cell>
        </row>
        <row r="173">
          <cell r="F173">
            <v>165</v>
          </cell>
          <cell r="G173">
            <v>3.5</v>
          </cell>
          <cell r="H173">
            <v>63.46</v>
          </cell>
          <cell r="I173">
            <v>9.9</v>
          </cell>
        </row>
        <row r="174">
          <cell r="F174">
            <v>118</v>
          </cell>
          <cell r="G174">
            <v>12.9</v>
          </cell>
          <cell r="H174">
            <v>39.08</v>
          </cell>
          <cell r="I174">
            <v>8.5</v>
          </cell>
        </row>
        <row r="175">
          <cell r="F175">
            <v>225</v>
          </cell>
          <cell r="G175">
            <v>10.3</v>
          </cell>
          <cell r="H175">
            <v>67.900000000000006</v>
          </cell>
          <cell r="I175">
            <v>9.5</v>
          </cell>
        </row>
        <row r="176">
          <cell r="F176">
            <v>174</v>
          </cell>
          <cell r="G176">
            <v>13.2</v>
          </cell>
          <cell r="H176">
            <v>67.02</v>
          </cell>
          <cell r="I176">
            <v>9.9</v>
          </cell>
        </row>
        <row r="177">
          <cell r="F177">
            <v>270</v>
          </cell>
          <cell r="G177">
            <v>9.6999999999999993</v>
          </cell>
          <cell r="H177">
            <v>45.76</v>
          </cell>
          <cell r="I177">
            <v>8.4</v>
          </cell>
        </row>
        <row r="178">
          <cell r="F178">
            <v>167</v>
          </cell>
          <cell r="G178">
            <v>15.3</v>
          </cell>
          <cell r="H178">
            <v>74.290000000000006</v>
          </cell>
          <cell r="I178">
            <v>9.1999999999999993</v>
          </cell>
        </row>
        <row r="179">
          <cell r="F179">
            <v>44</v>
          </cell>
          <cell r="G179">
            <v>17</v>
          </cell>
          <cell r="H179">
            <v>21.32</v>
          </cell>
          <cell r="I179">
            <v>8.4</v>
          </cell>
        </row>
        <row r="180">
          <cell r="F180">
            <v>130</v>
          </cell>
          <cell r="G180">
            <v>11.4</v>
          </cell>
          <cell r="H180">
            <v>70.5</v>
          </cell>
          <cell r="I180">
            <v>8.8000000000000007</v>
          </cell>
        </row>
        <row r="181">
          <cell r="F181">
            <v>257</v>
          </cell>
          <cell r="G181">
            <v>3</v>
          </cell>
          <cell r="H181">
            <v>109.17</v>
          </cell>
          <cell r="I181">
            <v>8.6999999999999993</v>
          </cell>
        </row>
        <row r="182">
          <cell r="F182">
            <v>206</v>
          </cell>
          <cell r="G182">
            <v>7.5</v>
          </cell>
          <cell r="H182">
            <v>46.04</v>
          </cell>
          <cell r="I182">
            <v>8.1999999999999993</v>
          </cell>
        </row>
        <row r="183">
          <cell r="F183">
            <v>204</v>
          </cell>
          <cell r="G183">
            <v>2.4</v>
          </cell>
          <cell r="H183">
            <v>46.53</v>
          </cell>
          <cell r="I183">
            <v>9</v>
          </cell>
        </row>
        <row r="184">
          <cell r="F184">
            <v>147</v>
          </cell>
          <cell r="G184">
            <v>2.7</v>
          </cell>
          <cell r="H184">
            <v>84.65</v>
          </cell>
          <cell r="I184">
            <v>8.9</v>
          </cell>
        </row>
        <row r="185">
          <cell r="F185">
            <v>207</v>
          </cell>
          <cell r="G185">
            <v>2.5</v>
          </cell>
          <cell r="H185">
            <v>78.92</v>
          </cell>
          <cell r="I185">
            <v>8.6</v>
          </cell>
        </row>
        <row r="186">
          <cell r="F186">
            <v>198</v>
          </cell>
          <cell r="G186">
            <v>5.0999999999999996</v>
          </cell>
          <cell r="H186">
            <v>76.16</v>
          </cell>
          <cell r="I186">
            <v>7.9</v>
          </cell>
        </row>
        <row r="187">
          <cell r="F187">
            <v>57</v>
          </cell>
          <cell r="G187">
            <v>1.9</v>
          </cell>
          <cell r="H187">
            <v>33.17</v>
          </cell>
          <cell r="I187">
            <v>8.3000000000000007</v>
          </cell>
        </row>
        <row r="188">
          <cell r="F188">
            <v>116</v>
          </cell>
          <cell r="G188">
            <v>5.2</v>
          </cell>
          <cell r="H188">
            <v>45.35</v>
          </cell>
          <cell r="I188">
            <v>9.3000000000000007</v>
          </cell>
        </row>
        <row r="189">
          <cell r="F189">
            <v>184</v>
          </cell>
          <cell r="G189">
            <v>4.3</v>
          </cell>
          <cell r="H189">
            <v>78.150000000000006</v>
          </cell>
          <cell r="I189">
            <v>6.3</v>
          </cell>
        </row>
        <row r="190">
          <cell r="F190">
            <v>111</v>
          </cell>
          <cell r="G190">
            <v>1.9</v>
          </cell>
          <cell r="H190">
            <v>53.02</v>
          </cell>
          <cell r="I190">
            <v>7.6</v>
          </cell>
        </row>
        <row r="191">
          <cell r="F191">
            <v>171</v>
          </cell>
          <cell r="G191">
            <v>1.5</v>
          </cell>
          <cell r="H191">
            <v>44.14</v>
          </cell>
          <cell r="I191">
            <v>8.6999999999999993</v>
          </cell>
        </row>
        <row r="192">
          <cell r="F192">
            <v>5</v>
          </cell>
          <cell r="G192">
            <v>3.6</v>
          </cell>
          <cell r="H192">
            <v>2.64</v>
          </cell>
          <cell r="I192">
            <v>9</v>
          </cell>
        </row>
        <row r="193">
          <cell r="F193">
            <v>180</v>
          </cell>
          <cell r="G193">
            <v>4.2</v>
          </cell>
          <cell r="H193">
            <v>46.37</v>
          </cell>
          <cell r="I193">
            <v>7.4</v>
          </cell>
        </row>
        <row r="194">
          <cell r="F194">
            <v>177</v>
          </cell>
          <cell r="G194">
            <v>2.1</v>
          </cell>
          <cell r="H194">
            <v>64.13</v>
          </cell>
          <cell r="I194">
            <v>6.6</v>
          </cell>
        </row>
        <row r="195">
          <cell r="F195">
            <v>270</v>
          </cell>
          <cell r="G195">
            <v>3.1</v>
          </cell>
          <cell r="H195">
            <v>143.61000000000001</v>
          </cell>
          <cell r="I195">
            <v>8.6999999999999993</v>
          </cell>
        </row>
        <row r="196">
          <cell r="F196">
            <v>236</v>
          </cell>
          <cell r="G196">
            <v>13</v>
          </cell>
          <cell r="H196">
            <v>41.64</v>
          </cell>
          <cell r="I196">
            <v>8.6999999999999993</v>
          </cell>
        </row>
        <row r="197">
          <cell r="F197">
            <v>187</v>
          </cell>
          <cell r="G197">
            <v>3.1</v>
          </cell>
          <cell r="H197">
            <v>100.85</v>
          </cell>
          <cell r="I197">
            <v>8.3000000000000007</v>
          </cell>
        </row>
        <row r="198">
          <cell r="F198">
            <v>94</v>
          </cell>
          <cell r="G198">
            <v>4.5999999999999996</v>
          </cell>
          <cell r="H198">
            <v>45.74</v>
          </cell>
          <cell r="I198">
            <v>8</v>
          </cell>
        </row>
        <row r="199">
          <cell r="F199">
            <v>215</v>
          </cell>
          <cell r="G199">
            <v>3</v>
          </cell>
          <cell r="H199">
            <v>89.58</v>
          </cell>
          <cell r="I199">
            <v>8.1</v>
          </cell>
        </row>
        <row r="200">
          <cell r="F200">
            <v>173</v>
          </cell>
          <cell r="G200">
            <v>12.4</v>
          </cell>
          <cell r="H200">
            <v>72.92</v>
          </cell>
          <cell r="I200">
            <v>7</v>
          </cell>
        </row>
        <row r="201">
          <cell r="F201">
            <v>178</v>
          </cell>
          <cell r="G201">
            <v>3.7</v>
          </cell>
          <cell r="H201">
            <v>86.15</v>
          </cell>
          <cell r="I201">
            <v>8.1</v>
          </cell>
        </row>
        <row r="202">
          <cell r="F202">
            <v>124</v>
          </cell>
          <cell r="G202">
            <v>7.6</v>
          </cell>
          <cell r="H202">
            <v>53.98</v>
          </cell>
          <cell r="I202">
            <v>8</v>
          </cell>
        </row>
        <row r="203">
          <cell r="F203">
            <v>173</v>
          </cell>
          <cell r="G203">
            <v>2.8</v>
          </cell>
          <cell r="H203">
            <v>38.56</v>
          </cell>
          <cell r="I203">
            <v>8.6999999999999993</v>
          </cell>
        </row>
        <row r="204">
          <cell r="F204">
            <v>47</v>
          </cell>
          <cell r="G204">
            <v>2.2999999999999998</v>
          </cell>
          <cell r="H204">
            <v>30.73</v>
          </cell>
          <cell r="I204">
            <v>7.9</v>
          </cell>
        </row>
        <row r="205">
          <cell r="F205">
            <v>27</v>
          </cell>
          <cell r="G205">
            <v>7.9</v>
          </cell>
          <cell r="H205">
            <v>7.97</v>
          </cell>
          <cell r="I205">
            <v>7.8</v>
          </cell>
        </row>
        <row r="206">
          <cell r="F206">
            <v>40</v>
          </cell>
          <cell r="G206">
            <v>1.4</v>
          </cell>
          <cell r="H206">
            <v>13.19</v>
          </cell>
          <cell r="I206">
            <v>8.1</v>
          </cell>
        </row>
        <row r="207">
          <cell r="F207">
            <v>169</v>
          </cell>
          <cell r="G207">
            <v>4.3</v>
          </cell>
          <cell r="H207">
            <v>59.75</v>
          </cell>
          <cell r="I207">
            <v>9.1999999999999993</v>
          </cell>
        </row>
        <row r="208">
          <cell r="F208">
            <v>70</v>
          </cell>
          <cell r="G208">
            <v>4.7</v>
          </cell>
          <cell r="H208">
            <v>14.83</v>
          </cell>
          <cell r="I208">
            <v>8.5</v>
          </cell>
        </row>
        <row r="209">
          <cell r="F209">
            <v>25</v>
          </cell>
          <cell r="G209">
            <v>18.600000000000001</v>
          </cell>
          <cell r="H209">
            <v>22.58</v>
          </cell>
          <cell r="I209">
            <v>6.3</v>
          </cell>
        </row>
        <row r="210">
          <cell r="F210">
            <v>154</v>
          </cell>
          <cell r="G210">
            <v>5.8</v>
          </cell>
          <cell r="H210">
            <v>43.98</v>
          </cell>
          <cell r="I210">
            <v>6.8</v>
          </cell>
        </row>
        <row r="211">
          <cell r="F211">
            <v>93</v>
          </cell>
          <cell r="G211">
            <v>3.8</v>
          </cell>
          <cell r="H211">
            <v>16.489999999999998</v>
          </cell>
          <cell r="I211">
            <v>8.1999999999999993</v>
          </cell>
        </row>
        <row r="212">
          <cell r="F212">
            <v>220</v>
          </cell>
          <cell r="G212">
            <v>3.9</v>
          </cell>
          <cell r="H212">
            <v>69.3</v>
          </cell>
          <cell r="I212">
            <v>7.8</v>
          </cell>
        </row>
        <row r="213">
          <cell r="F213">
            <v>92</v>
          </cell>
          <cell r="G213">
            <v>4.2</v>
          </cell>
          <cell r="H213">
            <v>26.87</v>
          </cell>
          <cell r="I213">
            <v>8.5</v>
          </cell>
        </row>
        <row r="214">
          <cell r="F214">
            <v>84</v>
          </cell>
          <cell r="G214">
            <v>2.2000000000000002</v>
          </cell>
          <cell r="H214">
            <v>21.42</v>
          </cell>
          <cell r="I214">
            <v>8</v>
          </cell>
        </row>
        <row r="215">
          <cell r="F215">
            <v>253</v>
          </cell>
          <cell r="G215">
            <v>1.6</v>
          </cell>
          <cell r="H215">
            <v>66.91</v>
          </cell>
          <cell r="I215">
            <v>8.1999999999999993</v>
          </cell>
        </row>
        <row r="216">
          <cell r="F216">
            <v>113</v>
          </cell>
          <cell r="G216">
            <v>3.5</v>
          </cell>
          <cell r="H216">
            <v>46.37</v>
          </cell>
          <cell r="I216">
            <v>8.6999999999999993</v>
          </cell>
        </row>
        <row r="217">
          <cell r="F217">
            <v>136</v>
          </cell>
          <cell r="G217">
            <v>14.6</v>
          </cell>
          <cell r="H217">
            <v>67.66</v>
          </cell>
          <cell r="I217">
            <v>8.6999999999999993</v>
          </cell>
        </row>
        <row r="218">
          <cell r="F218">
            <v>243</v>
          </cell>
          <cell r="G218">
            <v>1.3</v>
          </cell>
          <cell r="H218">
            <v>78.42</v>
          </cell>
          <cell r="I218">
            <v>7.9</v>
          </cell>
        </row>
        <row r="219">
          <cell r="F219">
            <v>168</v>
          </cell>
          <cell r="G219">
            <v>1.9</v>
          </cell>
          <cell r="H219">
            <v>25.6</v>
          </cell>
          <cell r="I219">
            <v>8.5</v>
          </cell>
        </row>
        <row r="220">
          <cell r="F220">
            <v>30</v>
          </cell>
          <cell r="G220">
            <v>2.5</v>
          </cell>
          <cell r="H220">
            <v>4.5599999999999996</v>
          </cell>
          <cell r="I220">
            <v>5.9</v>
          </cell>
        </row>
        <row r="221">
          <cell r="F221">
            <v>133</v>
          </cell>
          <cell r="G221">
            <v>6.3</v>
          </cell>
          <cell r="H221">
            <v>48.9</v>
          </cell>
          <cell r="I221">
            <v>7.7</v>
          </cell>
        </row>
        <row r="222">
          <cell r="F222">
            <v>78</v>
          </cell>
          <cell r="G222">
            <v>10.4</v>
          </cell>
          <cell r="H222">
            <v>23.62</v>
          </cell>
          <cell r="I222">
            <v>8.1</v>
          </cell>
        </row>
        <row r="223">
          <cell r="F223">
            <v>5</v>
          </cell>
          <cell r="G223">
            <v>4.3</v>
          </cell>
          <cell r="H223">
            <v>5.39</v>
          </cell>
          <cell r="I223">
            <v>8.5</v>
          </cell>
        </row>
        <row r="224">
          <cell r="F224">
            <v>71</v>
          </cell>
          <cell r="G224">
            <v>4.5</v>
          </cell>
          <cell r="H224">
            <v>41.11</v>
          </cell>
          <cell r="I224">
            <v>8.4</v>
          </cell>
        </row>
        <row r="225">
          <cell r="F225">
            <v>152</v>
          </cell>
          <cell r="G225">
            <v>1.8</v>
          </cell>
          <cell r="H225">
            <v>57.05</v>
          </cell>
          <cell r="I225">
            <v>8.6999999999999993</v>
          </cell>
        </row>
        <row r="226">
          <cell r="F226">
            <v>136</v>
          </cell>
          <cell r="G226">
            <v>3.3</v>
          </cell>
          <cell r="H226">
            <v>68.489999999999995</v>
          </cell>
          <cell r="I226">
            <v>9.5</v>
          </cell>
        </row>
        <row r="227">
          <cell r="F227">
            <v>188</v>
          </cell>
          <cell r="G227">
            <v>1.1000000000000001</v>
          </cell>
          <cell r="H227">
            <v>80.44</v>
          </cell>
          <cell r="I227">
            <v>9.5</v>
          </cell>
        </row>
        <row r="228">
          <cell r="F228">
            <v>98</v>
          </cell>
          <cell r="G228">
            <v>2.4</v>
          </cell>
          <cell r="H228">
            <v>53.75</v>
          </cell>
          <cell r="I228">
            <v>7.8</v>
          </cell>
        </row>
        <row r="229">
          <cell r="F229">
            <v>170</v>
          </cell>
          <cell r="G229">
            <v>2.5</v>
          </cell>
          <cell r="H229">
            <v>35.64</v>
          </cell>
          <cell r="I229">
            <v>8.1999999999999993</v>
          </cell>
        </row>
        <row r="230">
          <cell r="F230">
            <v>110</v>
          </cell>
          <cell r="G230">
            <v>17.899999999999999</v>
          </cell>
          <cell r="H230">
            <v>55.26</v>
          </cell>
          <cell r="I230">
            <v>8.5</v>
          </cell>
        </row>
        <row r="231">
          <cell r="F231">
            <v>203</v>
          </cell>
          <cell r="G231">
            <v>3.5</v>
          </cell>
          <cell r="H231">
            <v>116.15</v>
          </cell>
          <cell r="I231">
            <v>8</v>
          </cell>
        </row>
        <row r="232">
          <cell r="F232">
            <v>141</v>
          </cell>
          <cell r="G232">
            <v>3.4</v>
          </cell>
          <cell r="H232">
            <v>21.33</v>
          </cell>
          <cell r="I232">
            <v>5.4</v>
          </cell>
        </row>
        <row r="233">
          <cell r="F233">
            <v>237</v>
          </cell>
          <cell r="G233">
            <v>6.4</v>
          </cell>
          <cell r="H233">
            <v>56.33</v>
          </cell>
          <cell r="I233">
            <v>7</v>
          </cell>
        </row>
        <row r="234">
          <cell r="F234">
            <v>5</v>
          </cell>
          <cell r="G234">
            <v>16.600000000000001</v>
          </cell>
          <cell r="H234">
            <v>1</v>
          </cell>
          <cell r="I234">
            <v>6.6</v>
          </cell>
        </row>
        <row r="235">
          <cell r="F235">
            <v>129</v>
          </cell>
          <cell r="G235">
            <v>4.4000000000000004</v>
          </cell>
          <cell r="H235">
            <v>28.42</v>
          </cell>
          <cell r="I235">
            <v>7.1</v>
          </cell>
        </row>
        <row r="236">
          <cell r="F236">
            <v>125</v>
          </cell>
          <cell r="G236">
            <v>4.5</v>
          </cell>
          <cell r="H236">
            <v>24.65</v>
          </cell>
          <cell r="I236">
            <v>8.5</v>
          </cell>
        </row>
        <row r="237">
          <cell r="F237">
            <v>36</v>
          </cell>
          <cell r="G237">
            <v>13</v>
          </cell>
          <cell r="H237">
            <v>10.77</v>
          </cell>
          <cell r="I237">
            <v>9.6999999999999993</v>
          </cell>
        </row>
        <row r="238">
          <cell r="F238">
            <v>17</v>
          </cell>
          <cell r="G238">
            <v>3</v>
          </cell>
          <cell r="H238">
            <v>11.85</v>
          </cell>
          <cell r="I238">
            <v>10</v>
          </cell>
        </row>
        <row r="239">
          <cell r="F239">
            <v>110</v>
          </cell>
          <cell r="G239">
            <v>2.7</v>
          </cell>
          <cell r="H239">
            <v>45.41</v>
          </cell>
          <cell r="I239">
            <v>7.8</v>
          </cell>
        </row>
        <row r="240">
          <cell r="F240">
            <v>81</v>
          </cell>
          <cell r="G240">
            <v>12.9</v>
          </cell>
          <cell r="H240">
            <v>49.92</v>
          </cell>
          <cell r="I240">
            <v>8.1999999999999993</v>
          </cell>
        </row>
        <row r="241">
          <cell r="F241">
            <v>202</v>
          </cell>
          <cell r="G241">
            <v>18.3</v>
          </cell>
          <cell r="H241">
            <v>33.03</v>
          </cell>
          <cell r="I241">
            <v>7.3</v>
          </cell>
        </row>
        <row r="242">
          <cell r="F242">
            <v>16</v>
          </cell>
          <cell r="G242">
            <v>5.6</v>
          </cell>
          <cell r="H242">
            <v>1</v>
          </cell>
          <cell r="I242">
            <v>8</v>
          </cell>
        </row>
        <row r="243">
          <cell r="F243">
            <v>106</v>
          </cell>
          <cell r="G243">
            <v>7.6</v>
          </cell>
          <cell r="H243">
            <v>60.38</v>
          </cell>
          <cell r="I243">
            <v>8</v>
          </cell>
        </row>
        <row r="244">
          <cell r="F244">
            <v>141</v>
          </cell>
          <cell r="G244">
            <v>3.5</v>
          </cell>
          <cell r="H244">
            <v>23.77</v>
          </cell>
          <cell r="I244">
            <v>7.5</v>
          </cell>
        </row>
        <row r="245">
          <cell r="F245">
            <v>101</v>
          </cell>
          <cell r="G245">
            <v>10.9</v>
          </cell>
          <cell r="H245">
            <v>31.98</v>
          </cell>
          <cell r="I245">
            <v>10</v>
          </cell>
        </row>
        <row r="246">
          <cell r="F246">
            <v>127</v>
          </cell>
          <cell r="G246">
            <v>3.6</v>
          </cell>
          <cell r="H246">
            <v>31.43</v>
          </cell>
          <cell r="I246">
            <v>8.1</v>
          </cell>
        </row>
        <row r="247">
          <cell r="F247">
            <v>127</v>
          </cell>
          <cell r="G247">
            <v>10.6</v>
          </cell>
          <cell r="H247">
            <v>67.31</v>
          </cell>
          <cell r="I247">
            <v>8.1</v>
          </cell>
        </row>
        <row r="248">
          <cell r="F248">
            <v>198</v>
          </cell>
          <cell r="G248">
            <v>2</v>
          </cell>
          <cell r="H248">
            <v>34.159999999999997</v>
          </cell>
          <cell r="I248">
            <v>6.9</v>
          </cell>
        </row>
        <row r="249">
          <cell r="F249">
            <v>137</v>
          </cell>
          <cell r="G249">
            <v>3</v>
          </cell>
          <cell r="H249">
            <v>31.18</v>
          </cell>
          <cell r="I249">
            <v>7.5</v>
          </cell>
        </row>
        <row r="250">
          <cell r="F250">
            <v>212</v>
          </cell>
          <cell r="G250">
            <v>13.7</v>
          </cell>
          <cell r="H250">
            <v>79.97</v>
          </cell>
          <cell r="I250">
            <v>7.5</v>
          </cell>
        </row>
        <row r="251">
          <cell r="F251">
            <v>98</v>
          </cell>
          <cell r="G251">
            <v>1.5</v>
          </cell>
          <cell r="H251">
            <v>21.46</v>
          </cell>
          <cell r="I251">
            <v>8.8000000000000007</v>
          </cell>
        </row>
        <row r="252">
          <cell r="F252">
            <v>163</v>
          </cell>
          <cell r="G252">
            <v>8.8000000000000007</v>
          </cell>
          <cell r="H252">
            <v>84.72</v>
          </cell>
          <cell r="I252">
            <v>7.5</v>
          </cell>
        </row>
        <row r="253">
          <cell r="F253">
            <v>81</v>
          </cell>
          <cell r="G253">
            <v>16.5</v>
          </cell>
          <cell r="H253">
            <v>31.68</v>
          </cell>
          <cell r="I253">
            <v>8.3000000000000007</v>
          </cell>
        </row>
        <row r="254">
          <cell r="F254">
            <v>117</v>
          </cell>
          <cell r="G254">
            <v>7.8</v>
          </cell>
          <cell r="H254">
            <v>48.96</v>
          </cell>
          <cell r="I254">
            <v>8.1</v>
          </cell>
        </row>
        <row r="255">
          <cell r="F255">
            <v>97</v>
          </cell>
          <cell r="G255">
            <v>16.2</v>
          </cell>
          <cell r="H255">
            <v>48.73</v>
          </cell>
          <cell r="I255">
            <v>7</v>
          </cell>
        </row>
        <row r="256">
          <cell r="F256">
            <v>123</v>
          </cell>
          <cell r="G256">
            <v>7.2</v>
          </cell>
          <cell r="H256">
            <v>51.03</v>
          </cell>
          <cell r="I256">
            <v>8</v>
          </cell>
        </row>
        <row r="257">
          <cell r="F257">
            <v>193</v>
          </cell>
          <cell r="G257">
            <v>3.2</v>
          </cell>
          <cell r="H257">
            <v>33.76</v>
          </cell>
          <cell r="I257">
            <v>8</v>
          </cell>
        </row>
        <row r="258">
          <cell r="F258">
            <v>73</v>
          </cell>
          <cell r="G258">
            <v>3.5</v>
          </cell>
          <cell r="H258">
            <v>21.92</v>
          </cell>
          <cell r="I258">
            <v>7.1</v>
          </cell>
        </row>
        <row r="259">
          <cell r="F259">
            <v>53</v>
          </cell>
          <cell r="G259">
            <v>15</v>
          </cell>
          <cell r="H259">
            <v>23.45</v>
          </cell>
          <cell r="I259">
            <v>7.2</v>
          </cell>
        </row>
        <row r="260">
          <cell r="F260">
            <v>164</v>
          </cell>
          <cell r="G260">
            <v>8</v>
          </cell>
          <cell r="H260">
            <v>57.38</v>
          </cell>
          <cell r="I260">
            <v>8.6</v>
          </cell>
        </row>
        <row r="261">
          <cell r="F261">
            <v>141</v>
          </cell>
          <cell r="G261">
            <v>3.2</v>
          </cell>
          <cell r="H261">
            <v>28.41</v>
          </cell>
          <cell r="I261">
            <v>6.7</v>
          </cell>
        </row>
        <row r="262">
          <cell r="F262">
            <v>97</v>
          </cell>
          <cell r="G262">
            <v>3.5</v>
          </cell>
          <cell r="H262">
            <v>30.38</v>
          </cell>
          <cell r="I262">
            <v>7.1</v>
          </cell>
        </row>
        <row r="263">
          <cell r="F263">
            <v>113</v>
          </cell>
          <cell r="G263">
            <v>4.5</v>
          </cell>
          <cell r="H263">
            <v>48.12</v>
          </cell>
          <cell r="I263">
            <v>8.1</v>
          </cell>
        </row>
        <row r="264">
          <cell r="F264">
            <v>51</v>
          </cell>
          <cell r="G264">
            <v>3</v>
          </cell>
          <cell r="H264">
            <v>23</v>
          </cell>
          <cell r="I264">
            <v>7.7</v>
          </cell>
        </row>
        <row r="265">
          <cell r="F265">
            <v>264</v>
          </cell>
          <cell r="G265">
            <v>11.5</v>
          </cell>
          <cell r="H265">
            <v>84.62</v>
          </cell>
          <cell r="I265">
            <v>8.8000000000000007</v>
          </cell>
        </row>
        <row r="266">
          <cell r="F266">
            <v>127</v>
          </cell>
          <cell r="G266">
            <v>2</v>
          </cell>
          <cell r="H266">
            <v>35.869999999999997</v>
          </cell>
          <cell r="I266">
            <v>8.1999999999999993</v>
          </cell>
        </row>
        <row r="267">
          <cell r="F267">
            <v>102</v>
          </cell>
          <cell r="G267">
            <v>5.0999999999999996</v>
          </cell>
          <cell r="H267">
            <v>17.21</v>
          </cell>
          <cell r="I267">
            <v>8.6</v>
          </cell>
        </row>
        <row r="268">
          <cell r="F268">
            <v>139</v>
          </cell>
          <cell r="G268">
            <v>2.2999999999999998</v>
          </cell>
          <cell r="H268">
            <v>33.369999999999997</v>
          </cell>
          <cell r="I268">
            <v>7.3</v>
          </cell>
        </row>
        <row r="269">
          <cell r="F269">
            <v>5</v>
          </cell>
          <cell r="G269">
            <v>2.2999999999999998</v>
          </cell>
          <cell r="H269">
            <v>1</v>
          </cell>
          <cell r="I269">
            <v>7</v>
          </cell>
        </row>
        <row r="270">
          <cell r="F270">
            <v>161</v>
          </cell>
          <cell r="G270">
            <v>10.3</v>
          </cell>
          <cell r="H270">
            <v>80.040000000000006</v>
          </cell>
          <cell r="I270">
            <v>7.9</v>
          </cell>
        </row>
        <row r="271">
          <cell r="F271">
            <v>199</v>
          </cell>
          <cell r="G271">
            <v>2.6</v>
          </cell>
          <cell r="H271">
            <v>25.14</v>
          </cell>
          <cell r="I271">
            <v>7.7</v>
          </cell>
        </row>
        <row r="272">
          <cell r="F272">
            <v>124</v>
          </cell>
          <cell r="G272">
            <v>5.0999999999999996</v>
          </cell>
          <cell r="H272">
            <v>20.87</v>
          </cell>
          <cell r="I272">
            <v>8.6999999999999993</v>
          </cell>
        </row>
        <row r="273">
          <cell r="F273">
            <v>241</v>
          </cell>
          <cell r="G273">
            <v>3.4</v>
          </cell>
          <cell r="H273">
            <v>65.819999999999993</v>
          </cell>
          <cell r="I273">
            <v>8.8000000000000007</v>
          </cell>
        </row>
        <row r="274">
          <cell r="F274">
            <v>212</v>
          </cell>
          <cell r="G274">
            <v>16.3</v>
          </cell>
          <cell r="H274">
            <v>55.44</v>
          </cell>
          <cell r="I274">
            <v>9.4</v>
          </cell>
        </row>
        <row r="275">
          <cell r="F275">
            <v>138</v>
          </cell>
          <cell r="G275">
            <v>5.3</v>
          </cell>
          <cell r="H275">
            <v>57.47</v>
          </cell>
          <cell r="I275">
            <v>7.5</v>
          </cell>
        </row>
        <row r="276">
          <cell r="F276">
            <v>132</v>
          </cell>
          <cell r="G276">
            <v>3.8</v>
          </cell>
          <cell r="H276">
            <v>23.04</v>
          </cell>
          <cell r="I276">
            <v>0.2</v>
          </cell>
        </row>
        <row r="277">
          <cell r="F277">
            <v>199</v>
          </cell>
          <cell r="G277">
            <v>3.8</v>
          </cell>
          <cell r="H277">
            <v>88.89</v>
          </cell>
          <cell r="I277">
            <v>8</v>
          </cell>
        </row>
        <row r="278">
          <cell r="F278">
            <v>139</v>
          </cell>
          <cell r="G278">
            <v>12.2</v>
          </cell>
          <cell r="H278">
            <v>29.6</v>
          </cell>
          <cell r="I278">
            <v>8.6</v>
          </cell>
        </row>
        <row r="279">
          <cell r="F279">
            <v>172</v>
          </cell>
          <cell r="G279">
            <v>3.1</v>
          </cell>
          <cell r="H279">
            <v>42.56</v>
          </cell>
          <cell r="I279">
            <v>8.9</v>
          </cell>
        </row>
        <row r="280">
          <cell r="F280">
            <v>142</v>
          </cell>
          <cell r="G280">
            <v>22.2</v>
          </cell>
          <cell r="H280">
            <v>60.95</v>
          </cell>
          <cell r="I280">
            <v>8.1999999999999993</v>
          </cell>
        </row>
        <row r="281">
          <cell r="F281">
            <v>5</v>
          </cell>
          <cell r="G281">
            <v>2.2000000000000002</v>
          </cell>
          <cell r="H281">
            <v>1</v>
          </cell>
          <cell r="I281">
            <v>7.8</v>
          </cell>
        </row>
        <row r="282">
          <cell r="F282">
            <v>117</v>
          </cell>
          <cell r="G282">
            <v>3.2</v>
          </cell>
          <cell r="H282">
            <v>51.99</v>
          </cell>
          <cell r="I282">
            <v>7.3</v>
          </cell>
        </row>
        <row r="283">
          <cell r="F283">
            <v>162</v>
          </cell>
          <cell r="G283">
            <v>3.3</v>
          </cell>
          <cell r="H283">
            <v>27.72</v>
          </cell>
          <cell r="I283">
            <v>6.9</v>
          </cell>
        </row>
        <row r="284">
          <cell r="F284">
            <v>101</v>
          </cell>
          <cell r="G284">
            <v>4.2</v>
          </cell>
          <cell r="H284">
            <v>19.68</v>
          </cell>
          <cell r="I284">
            <v>7.6</v>
          </cell>
        </row>
        <row r="285">
          <cell r="F285">
            <v>224</v>
          </cell>
          <cell r="G285">
            <v>6.3</v>
          </cell>
          <cell r="H285">
            <v>62.72</v>
          </cell>
          <cell r="I285">
            <v>6.3</v>
          </cell>
        </row>
        <row r="286">
          <cell r="F286">
            <v>123</v>
          </cell>
          <cell r="G286">
            <v>16.7</v>
          </cell>
          <cell r="H286">
            <v>49.1</v>
          </cell>
          <cell r="I286">
            <v>7</v>
          </cell>
        </row>
        <row r="287">
          <cell r="F287">
            <v>104</v>
          </cell>
          <cell r="G287">
            <v>3.7</v>
          </cell>
          <cell r="H287">
            <v>51.14</v>
          </cell>
          <cell r="I287">
            <v>8.9</v>
          </cell>
        </row>
        <row r="288">
          <cell r="F288">
            <v>176</v>
          </cell>
          <cell r="G288">
            <v>2.7</v>
          </cell>
          <cell r="H288">
            <v>39.020000000000003</v>
          </cell>
          <cell r="I288">
            <v>8.1</v>
          </cell>
        </row>
        <row r="289">
          <cell r="F289">
            <v>176</v>
          </cell>
          <cell r="G289">
            <v>2.6</v>
          </cell>
          <cell r="H289">
            <v>61.14</v>
          </cell>
          <cell r="I289">
            <v>6.3</v>
          </cell>
        </row>
        <row r="290">
          <cell r="F290">
            <v>161</v>
          </cell>
          <cell r="G290">
            <v>2.8</v>
          </cell>
          <cell r="H290">
            <v>54.4</v>
          </cell>
          <cell r="I290">
            <v>8.3000000000000007</v>
          </cell>
        </row>
        <row r="291">
          <cell r="F291">
            <v>192</v>
          </cell>
          <cell r="G291">
            <v>8.5</v>
          </cell>
          <cell r="H291">
            <v>86.11</v>
          </cell>
          <cell r="I291">
            <v>5.7</v>
          </cell>
        </row>
        <row r="292">
          <cell r="F292">
            <v>158</v>
          </cell>
          <cell r="G292">
            <v>8.6</v>
          </cell>
          <cell r="H292">
            <v>34.340000000000003</v>
          </cell>
          <cell r="I292">
            <v>7.1</v>
          </cell>
        </row>
        <row r="293">
          <cell r="F293">
            <v>142</v>
          </cell>
          <cell r="G293">
            <v>3</v>
          </cell>
          <cell r="H293">
            <v>65.41</v>
          </cell>
          <cell r="I293">
            <v>7.9</v>
          </cell>
        </row>
        <row r="294">
          <cell r="F294">
            <v>56</v>
          </cell>
          <cell r="G294">
            <v>6.1</v>
          </cell>
          <cell r="H294">
            <v>17.850000000000001</v>
          </cell>
          <cell r="I294">
            <v>7.6</v>
          </cell>
        </row>
        <row r="295">
          <cell r="F295">
            <v>160</v>
          </cell>
          <cell r="G295">
            <v>10.6</v>
          </cell>
          <cell r="H295">
            <v>53.97</v>
          </cell>
          <cell r="I295">
            <v>8.6999999999999993</v>
          </cell>
        </row>
        <row r="296">
          <cell r="F296">
            <v>184</v>
          </cell>
          <cell r="G296">
            <v>3.3</v>
          </cell>
          <cell r="H296">
            <v>82.01</v>
          </cell>
          <cell r="I296">
            <v>9.8000000000000007</v>
          </cell>
        </row>
        <row r="297">
          <cell r="F297">
            <v>117</v>
          </cell>
          <cell r="G297">
            <v>10.6</v>
          </cell>
          <cell r="H297">
            <v>17.899999999999999</v>
          </cell>
          <cell r="I297">
            <v>6.9</v>
          </cell>
        </row>
        <row r="298">
          <cell r="F298">
            <v>105</v>
          </cell>
          <cell r="G298">
            <v>3.9</v>
          </cell>
          <cell r="H298">
            <v>44.36</v>
          </cell>
          <cell r="I298">
            <v>9.5</v>
          </cell>
        </row>
        <row r="299">
          <cell r="F299">
            <v>173</v>
          </cell>
          <cell r="G299">
            <v>12.8</v>
          </cell>
          <cell r="H299">
            <v>57.84</v>
          </cell>
          <cell r="I299">
            <v>8.1999999999999993</v>
          </cell>
        </row>
        <row r="300">
          <cell r="F300">
            <v>96</v>
          </cell>
          <cell r="G300">
            <v>2.7</v>
          </cell>
          <cell r="H300">
            <v>19.190000000000001</v>
          </cell>
          <cell r="I300">
            <v>8.3000000000000007</v>
          </cell>
        </row>
        <row r="301">
          <cell r="F301">
            <v>81</v>
          </cell>
          <cell r="G301">
            <v>1.3</v>
          </cell>
          <cell r="H301">
            <v>26.91</v>
          </cell>
          <cell r="I301">
            <v>8</v>
          </cell>
        </row>
        <row r="302">
          <cell r="F302">
            <v>149</v>
          </cell>
          <cell r="G302">
            <v>3</v>
          </cell>
          <cell r="H302">
            <v>76.959999999999994</v>
          </cell>
          <cell r="I302">
            <v>7.4</v>
          </cell>
        </row>
        <row r="303">
          <cell r="F303">
            <v>72</v>
          </cell>
          <cell r="G303">
            <v>3.5</v>
          </cell>
          <cell r="H303">
            <v>19.11</v>
          </cell>
          <cell r="I303">
            <v>7.7</v>
          </cell>
        </row>
        <row r="304">
          <cell r="F304">
            <v>154</v>
          </cell>
          <cell r="G304">
            <v>8.5</v>
          </cell>
          <cell r="H304">
            <v>62.11</v>
          </cell>
          <cell r="I304">
            <v>7.5</v>
          </cell>
        </row>
        <row r="305">
          <cell r="F305">
            <v>261</v>
          </cell>
          <cell r="G305">
            <v>2.8</v>
          </cell>
          <cell r="H305">
            <v>76.819999999999993</v>
          </cell>
          <cell r="I305">
            <v>9.1</v>
          </cell>
        </row>
        <row r="306">
          <cell r="F306">
            <v>162</v>
          </cell>
          <cell r="G306">
            <v>15.3</v>
          </cell>
          <cell r="H306">
            <v>28.42</v>
          </cell>
          <cell r="I306">
            <v>9.4</v>
          </cell>
        </row>
        <row r="307">
          <cell r="F307">
            <v>63</v>
          </cell>
          <cell r="G307">
            <v>8.6</v>
          </cell>
          <cell r="H307">
            <v>31.16</v>
          </cell>
          <cell r="I307">
            <v>8.3000000000000007</v>
          </cell>
        </row>
        <row r="308">
          <cell r="F308">
            <v>156</v>
          </cell>
          <cell r="G308">
            <v>6.4</v>
          </cell>
          <cell r="H308">
            <v>70.510000000000005</v>
          </cell>
          <cell r="I308">
            <v>9</v>
          </cell>
        </row>
        <row r="309">
          <cell r="F309">
            <v>135</v>
          </cell>
          <cell r="G309">
            <v>6.5</v>
          </cell>
          <cell r="H309">
            <v>21.02</v>
          </cell>
          <cell r="I309">
            <v>10</v>
          </cell>
        </row>
        <row r="310">
          <cell r="F310">
            <v>213</v>
          </cell>
          <cell r="G310">
            <v>7.9</v>
          </cell>
          <cell r="H310">
            <v>32.64</v>
          </cell>
          <cell r="I310">
            <v>8</v>
          </cell>
        </row>
        <row r="311">
          <cell r="F311">
            <v>317</v>
          </cell>
          <cell r="G311">
            <v>3.9</v>
          </cell>
          <cell r="H311">
            <v>89.69</v>
          </cell>
          <cell r="I311">
            <v>9.6999999999999993</v>
          </cell>
        </row>
        <row r="312">
          <cell r="F312">
            <v>174</v>
          </cell>
          <cell r="G312">
            <v>17.2</v>
          </cell>
          <cell r="H312">
            <v>69.91</v>
          </cell>
          <cell r="I312">
            <v>7.1</v>
          </cell>
        </row>
        <row r="313">
          <cell r="F313">
            <v>65</v>
          </cell>
          <cell r="G313">
            <v>0.8</v>
          </cell>
          <cell r="H313">
            <v>16.91</v>
          </cell>
          <cell r="I313">
            <v>7.5</v>
          </cell>
        </row>
        <row r="314">
          <cell r="F314">
            <v>209</v>
          </cell>
          <cell r="G314">
            <v>14.1</v>
          </cell>
          <cell r="H314">
            <v>99.66</v>
          </cell>
          <cell r="I314">
            <v>7</v>
          </cell>
        </row>
        <row r="315">
          <cell r="F315">
            <v>64</v>
          </cell>
          <cell r="G315">
            <v>6</v>
          </cell>
          <cell r="H315">
            <v>26.16</v>
          </cell>
          <cell r="I315">
            <v>7.7</v>
          </cell>
        </row>
        <row r="316">
          <cell r="F316">
            <v>189</v>
          </cell>
          <cell r="G316">
            <v>7.1</v>
          </cell>
          <cell r="H316">
            <v>97.58</v>
          </cell>
          <cell r="I316">
            <v>8.5</v>
          </cell>
        </row>
        <row r="317">
          <cell r="F317">
            <v>74</v>
          </cell>
          <cell r="G317">
            <v>2.9</v>
          </cell>
          <cell r="H317">
            <v>1</v>
          </cell>
          <cell r="I317">
            <v>10</v>
          </cell>
        </row>
        <row r="318">
          <cell r="F318">
            <v>46</v>
          </cell>
          <cell r="G318">
            <v>14.8</v>
          </cell>
          <cell r="H318">
            <v>27.84</v>
          </cell>
          <cell r="I318">
            <v>8.1999999999999993</v>
          </cell>
        </row>
        <row r="319">
          <cell r="F319">
            <v>195</v>
          </cell>
          <cell r="G319">
            <v>2.4</v>
          </cell>
          <cell r="H319">
            <v>95.83</v>
          </cell>
          <cell r="I319">
            <v>7</v>
          </cell>
        </row>
        <row r="320">
          <cell r="F320">
            <v>126</v>
          </cell>
          <cell r="G320">
            <v>0.2</v>
          </cell>
          <cell r="H320">
            <v>29.03</v>
          </cell>
          <cell r="I320">
            <v>7.2</v>
          </cell>
        </row>
        <row r="321">
          <cell r="F321">
            <v>193</v>
          </cell>
          <cell r="G321">
            <v>10.6</v>
          </cell>
          <cell r="H321">
            <v>44.08</v>
          </cell>
          <cell r="I321">
            <v>9.5</v>
          </cell>
        </row>
        <row r="322">
          <cell r="F322">
            <v>181</v>
          </cell>
          <cell r="G322">
            <v>1.6</v>
          </cell>
          <cell r="H322">
            <v>45.78</v>
          </cell>
          <cell r="I322">
            <v>8.8000000000000007</v>
          </cell>
        </row>
        <row r="323">
          <cell r="F323">
            <v>106</v>
          </cell>
          <cell r="G323">
            <v>5.4</v>
          </cell>
          <cell r="H323">
            <v>39.96</v>
          </cell>
          <cell r="I323">
            <v>7.5</v>
          </cell>
        </row>
        <row r="324">
          <cell r="F324">
            <v>33</v>
          </cell>
          <cell r="G324">
            <v>4.3</v>
          </cell>
          <cell r="H324">
            <v>13.7</v>
          </cell>
          <cell r="I324">
            <v>8</v>
          </cell>
        </row>
        <row r="325">
          <cell r="F325">
            <v>51</v>
          </cell>
          <cell r="G325">
            <v>2.7</v>
          </cell>
          <cell r="H325">
            <v>21.44</v>
          </cell>
          <cell r="I325">
            <v>7.8</v>
          </cell>
        </row>
        <row r="326">
          <cell r="F326">
            <v>141</v>
          </cell>
          <cell r="G326">
            <v>2.8</v>
          </cell>
          <cell r="H326">
            <v>80.569999999999993</v>
          </cell>
          <cell r="I326">
            <v>8.6999999999999993</v>
          </cell>
        </row>
        <row r="327">
          <cell r="F327">
            <v>220</v>
          </cell>
          <cell r="G327">
            <v>2.8</v>
          </cell>
          <cell r="H327">
            <v>49.53</v>
          </cell>
          <cell r="I327">
            <v>9.1999999999999993</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yam" refreshedDate="46276.597560648152" createdVersion="8" refreshedVersion="8" minRefreshableVersion="3" recordCount="326" xr:uid="{5942D18B-5229-4D4E-A207-8761F1E81F83}">
  <cacheSource type="worksheet">
    <worksheetSource ref="A1:J327" sheet="cleaned data "/>
  </cacheSource>
  <cacheFields count="10">
    <cacheField name="Record ID" numFmtId="0">
      <sharedItems containsSemiMixedTypes="0" containsString="0" containsNumber="1" containsInteger="1" minValue="4001" maxValue="4328" count="326">
        <n v="4065"/>
        <n v="4187"/>
        <n v="4290"/>
        <n v="4145"/>
        <n v="4190"/>
        <n v="4281"/>
        <n v="4220"/>
        <n v="4278"/>
        <n v="4202"/>
        <n v="4102"/>
        <n v="4018"/>
        <n v="4199"/>
        <n v="4191"/>
        <n v="4159"/>
        <n v="4136"/>
        <n v="4178"/>
        <n v="4241"/>
        <n v="4304"/>
        <n v="4122"/>
        <n v="4044"/>
        <n v="4227"/>
        <n v="4283"/>
        <n v="4061"/>
        <n v="4260"/>
        <n v="4097"/>
        <n v="4099"/>
        <n v="4088"/>
        <n v="4003"/>
        <n v="4163"/>
        <n v="4328"/>
        <n v="4306"/>
        <n v="4269"/>
        <n v="4008"/>
        <n v="4148"/>
        <n v="4250"/>
        <n v="4028"/>
        <n v="4002"/>
        <n v="4081"/>
        <n v="4095"/>
        <n v="4303"/>
        <n v="4287"/>
        <n v="4092"/>
        <n v="4056"/>
        <n v="4037"/>
        <n v="4100"/>
        <n v="4246"/>
        <n v="4049"/>
        <n v="4196"/>
        <n v="4007"/>
        <n v="4218"/>
        <n v="4063"/>
        <n v="4110"/>
        <n v="4130"/>
        <n v="4142"/>
        <n v="4249"/>
        <n v="4252"/>
        <n v="4194"/>
        <n v="4138"/>
        <n v="4325"/>
        <n v="4106"/>
        <n v="4152"/>
        <n v="4094"/>
        <n v="4033"/>
        <n v="4265"/>
        <n v="4087"/>
        <n v="4298"/>
        <n v="4117"/>
        <n v="4042"/>
        <n v="4016"/>
        <n v="4069"/>
        <n v="4204"/>
        <n v="4256"/>
        <n v="4079"/>
        <n v="4263"/>
        <n v="4031"/>
        <n v="4014"/>
        <n v="4180"/>
        <n v="4034"/>
        <n v="4020"/>
        <n v="4118"/>
        <n v="4127"/>
        <n v="4230"/>
        <n v="4307"/>
        <n v="4012"/>
        <n v="4022"/>
        <n v="4123"/>
        <n v="4193"/>
        <n v="4085"/>
        <n v="4213"/>
        <n v="4164"/>
        <n v="4046"/>
        <n v="4074"/>
        <n v="4294"/>
        <n v="4017"/>
        <n v="4129"/>
        <n v="4083"/>
        <n v="4295"/>
        <n v="4112"/>
        <n v="4292"/>
        <n v="4212"/>
        <n v="4006"/>
        <n v="4272"/>
        <n v="4154"/>
        <n v="4268"/>
        <n v="4318"/>
        <n v="4257"/>
        <n v="4021"/>
        <n v="4253"/>
        <n v="4143"/>
        <n v="4071"/>
        <n v="4124"/>
        <n v="4293"/>
        <n v="4327"/>
        <n v="4149"/>
        <n v="4258"/>
        <n v="4147"/>
        <n v="4291"/>
        <n v="4134"/>
        <n v="4229"/>
        <n v="4183"/>
        <n v="4232"/>
        <n v="4146"/>
        <n v="4247"/>
        <n v="4314"/>
        <n v="4240"/>
        <n v="4162"/>
        <n v="4062"/>
        <n v="4116"/>
        <n v="4155"/>
        <n v="4167"/>
        <n v="4309"/>
        <n v="4301"/>
        <n v="4174"/>
        <n v="4170"/>
        <n v="4050"/>
        <n v="4089"/>
        <n v="4001"/>
        <n v="4222"/>
        <n v="4182"/>
        <n v="4077"/>
        <n v="4059"/>
        <n v="4070"/>
        <n v="4121"/>
        <n v="4254"/>
        <n v="4151"/>
        <n v="4023"/>
        <n v="4139"/>
        <n v="4078"/>
        <n v="4324"/>
        <n v="4125"/>
        <n v="4219"/>
        <n v="4235"/>
        <n v="4239"/>
        <n v="4313"/>
        <n v="4090"/>
        <n v="4126"/>
        <n v="4177"/>
        <n v="4284"/>
        <n v="4160"/>
        <n v="4310"/>
        <n v="4054"/>
        <n v="4032"/>
        <n v="4091"/>
        <n v="4010"/>
        <n v="4259"/>
        <n v="4316"/>
        <n v="4086"/>
        <n v="4111"/>
        <n v="4048"/>
        <n v="4186"/>
        <n v="4051"/>
        <n v="4217"/>
        <n v="4140"/>
        <n v="4168"/>
        <n v="4326"/>
        <n v="4320"/>
        <n v="4319"/>
        <n v="4279"/>
        <n v="4317"/>
        <n v="4242"/>
        <n v="4009"/>
        <n v="4101"/>
        <n v="4198"/>
        <n v="4171"/>
        <n v="4039"/>
        <n v="4231"/>
        <n v="4270"/>
        <n v="4084"/>
        <n v="4067"/>
        <n v="4080"/>
        <n v="4207"/>
        <n v="4236"/>
        <n v="4243"/>
        <n v="4211"/>
        <n v="4082"/>
        <n v="4311"/>
        <n v="4060"/>
        <n v="4296"/>
        <n v="4264"/>
        <n v="4115"/>
        <n v="4302"/>
        <n v="4011"/>
        <n v="4274"/>
        <n v="4179"/>
        <n v="4015"/>
        <n v="4040"/>
        <n v="4109"/>
        <n v="4176"/>
        <n v="4114"/>
        <n v="4181"/>
        <n v="4066"/>
        <n v="4169"/>
        <n v="4058"/>
        <n v="4288"/>
        <n v="4255"/>
        <n v="4024"/>
        <n v="4201"/>
        <n v="4052"/>
        <n v="4025"/>
        <n v="4120"/>
        <n v="4322"/>
        <n v="4133"/>
        <n v="4053"/>
        <n v="4184"/>
        <n v="4200"/>
        <n v="4038"/>
        <n v="4041"/>
        <n v="4215"/>
        <n v="4137"/>
        <n v="4055"/>
        <n v="4206"/>
        <n v="4076"/>
        <n v="4286"/>
        <n v="4245"/>
        <n v="4244"/>
        <n v="4173"/>
        <n v="4057"/>
        <n v="4043"/>
        <n v="4205"/>
        <n v="4189"/>
        <n v="4144"/>
        <n v="4185"/>
        <n v="4237"/>
        <n v="4315"/>
        <n v="4047"/>
        <n v="4297"/>
        <n v="4305"/>
        <n v="4323"/>
        <n v="4271"/>
        <n v="4226"/>
        <n v="4221"/>
        <n v="4036"/>
        <n v="4013"/>
        <n v="4064"/>
        <n v="4223"/>
        <n v="4093"/>
        <n v="4030"/>
        <n v="4261"/>
        <n v="4105"/>
        <n v="4228"/>
        <n v="4208"/>
        <n v="4233"/>
        <n v="4108"/>
        <n v="4280"/>
        <n v="4150"/>
        <n v="4225"/>
        <n v="4113"/>
        <n v="4312"/>
        <n v="4019"/>
        <n v="4166"/>
        <n v="4210"/>
        <n v="4035"/>
        <n v="4273"/>
        <n v="4308"/>
        <n v="4289"/>
        <n v="4234"/>
        <n v="4175"/>
        <n v="4188"/>
        <n v="4073"/>
        <n v="4251"/>
        <n v="4238"/>
        <n v="4192"/>
        <n v="4275"/>
        <n v="4107"/>
        <n v="4300"/>
        <n v="4068"/>
        <n v="4104"/>
        <n v="4157"/>
        <n v="4132"/>
        <n v="4277"/>
        <n v="4224"/>
        <n v="4195"/>
        <n v="4128"/>
        <n v="4156"/>
        <n v="4158"/>
        <n v="4027"/>
        <n v="4216"/>
        <n v="4262"/>
        <n v="4203"/>
        <n v="4285"/>
        <n v="4153"/>
        <n v="4131"/>
        <n v="4197"/>
        <n v="4161"/>
        <n v="4045"/>
        <n v="4135"/>
        <n v="4267"/>
        <n v="4141"/>
        <n v="4276"/>
        <n v="4096"/>
        <n v="4004"/>
        <n v="4266"/>
        <n v="4098"/>
        <n v="4165"/>
        <n v="4075"/>
        <n v="4321"/>
        <n v="4026"/>
        <n v="4209"/>
        <n v="4072"/>
        <n v="4299"/>
        <n v="4214"/>
        <n v="4282"/>
        <n v="4248"/>
        <n v="4172"/>
        <n v="4103"/>
        <n v="4029"/>
      </sharedItems>
    </cacheField>
    <cacheField name="Fiscal Quarter" numFmtId="0">
      <sharedItems count="8">
        <s v="Q2 FY25"/>
        <s v="Q2 FY24"/>
        <s v="Q3 FY25"/>
        <s v="Q4 FY24"/>
        <s v="Q3 FY24"/>
        <s v="Q4 FY25"/>
        <s v="Q1 FY24"/>
        <s v="Q1 FY25"/>
      </sharedItems>
    </cacheField>
    <cacheField name="Region" numFmtId="0">
      <sharedItems count="5">
        <s v="West India"/>
        <s v="South India"/>
        <s v="Central India"/>
        <s v="East India"/>
        <s v="North India"/>
      </sharedItems>
    </cacheField>
    <cacheField name="Transaction Type" numFmtId="0">
      <sharedItems count="4">
        <s v="Return/Exchange"/>
        <s v="Store Pickup"/>
        <s v="Online Delivery"/>
        <s v="In-Store Purchase"/>
      </sharedItems>
    </cacheField>
    <cacheField name="Product Category" numFmtId="0">
      <sharedItems count="5">
        <s v="Apparel"/>
        <s v="Footwear"/>
        <s v="Team Sports"/>
        <s v="Fitness Equipment"/>
        <s v="Outdoor &amp; Camping"/>
      </sharedItems>
    </cacheField>
    <cacheField name="Units Sold" numFmtId="0">
      <sharedItems containsSemiMixedTypes="0" containsString="0" containsNumber="1" containsInteger="1" minValue="5" maxValue="317"/>
    </cacheField>
    <cacheField name="Avg Checkout Time Minutes" numFmtId="0">
      <sharedItems containsSemiMixedTypes="0" containsString="0" containsNumber="1" minValue="0.2" maxValue="22.2"/>
    </cacheField>
    <cacheField name="Operating Cost INR Lakh" numFmtId="0">
      <sharedItems containsSemiMixedTypes="0" containsString="0" containsNumber="1" minValue="1" maxValue="146.08000000000001"/>
    </cacheField>
    <cacheField name="Customer Satisfaction Score" numFmtId="0">
      <sharedItems containsSemiMixedTypes="0" containsString="0" containsNumber="1" minValue="0.2" maxValue="10"/>
    </cacheField>
    <cacheField name="Return Exchange Visits" numFmtId="0">
      <sharedItems containsSemiMixedTypes="0" containsString="0" containsNumber="1" containsInteger="1" minValue="0" maxValue="20"/>
    </cacheField>
  </cacheFields>
  <extLst>
    <ext xmlns:x14="http://schemas.microsoft.com/office/spreadsheetml/2009/9/main" uri="{725AE2AE-9491-48be-B2B4-4EB974FC3084}">
      <x14:pivotCacheDefinition pivotCacheId="213108865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
  <r>
    <x v="0"/>
    <x v="0"/>
    <x v="0"/>
    <x v="0"/>
    <x v="0"/>
    <n v="97"/>
    <n v="6.3"/>
    <n v="17.21"/>
    <n v="7.7"/>
    <n v="0"/>
  </r>
  <r>
    <x v="1"/>
    <x v="1"/>
    <x v="1"/>
    <x v="1"/>
    <x v="1"/>
    <n v="223"/>
    <n v="2.4"/>
    <n v="53.03"/>
    <n v="7.1"/>
    <n v="16"/>
  </r>
  <r>
    <x v="2"/>
    <x v="2"/>
    <x v="0"/>
    <x v="2"/>
    <x v="2"/>
    <n v="99"/>
    <n v="11"/>
    <n v="24.57"/>
    <n v="8"/>
    <n v="7"/>
  </r>
  <r>
    <x v="3"/>
    <x v="3"/>
    <x v="2"/>
    <x v="1"/>
    <x v="1"/>
    <n v="177"/>
    <n v="2.1"/>
    <n v="40.17"/>
    <n v="8"/>
    <n v="11"/>
  </r>
  <r>
    <x v="4"/>
    <x v="1"/>
    <x v="0"/>
    <x v="3"/>
    <x v="1"/>
    <n v="35"/>
    <n v="2.7"/>
    <n v="18.12"/>
    <n v="6.6"/>
    <n v="2"/>
  </r>
  <r>
    <x v="5"/>
    <x v="0"/>
    <x v="2"/>
    <x v="0"/>
    <x v="3"/>
    <n v="146"/>
    <n v="9.1999999999999993"/>
    <n v="67.599999999999994"/>
    <n v="7.1"/>
    <n v="8"/>
  </r>
  <r>
    <x v="6"/>
    <x v="2"/>
    <x v="3"/>
    <x v="3"/>
    <x v="4"/>
    <n v="197"/>
    <n v="3.1"/>
    <n v="74.73"/>
    <n v="8.3000000000000007"/>
    <n v="7"/>
  </r>
  <r>
    <x v="7"/>
    <x v="4"/>
    <x v="0"/>
    <x v="0"/>
    <x v="1"/>
    <n v="141"/>
    <n v="7.3"/>
    <n v="30.82"/>
    <n v="8.6"/>
    <n v="3"/>
  </r>
  <r>
    <x v="8"/>
    <x v="1"/>
    <x v="1"/>
    <x v="2"/>
    <x v="0"/>
    <n v="137"/>
    <n v="14.4"/>
    <n v="67.61"/>
    <n v="8.4"/>
    <n v="8"/>
  </r>
  <r>
    <x v="9"/>
    <x v="1"/>
    <x v="1"/>
    <x v="2"/>
    <x v="0"/>
    <n v="133"/>
    <n v="17"/>
    <n v="61.89"/>
    <n v="9.9"/>
    <n v="9"/>
  </r>
  <r>
    <x v="10"/>
    <x v="0"/>
    <x v="1"/>
    <x v="1"/>
    <x v="0"/>
    <n v="202"/>
    <n v="1.3"/>
    <n v="55.17"/>
    <n v="8.3000000000000007"/>
    <n v="19"/>
  </r>
  <r>
    <x v="11"/>
    <x v="5"/>
    <x v="1"/>
    <x v="1"/>
    <x v="0"/>
    <n v="184"/>
    <n v="4.5"/>
    <n v="57.11"/>
    <n v="8.8000000000000007"/>
    <n v="10"/>
  </r>
  <r>
    <x v="12"/>
    <x v="4"/>
    <x v="3"/>
    <x v="2"/>
    <x v="1"/>
    <n v="167"/>
    <n v="16"/>
    <n v="81.819999999999993"/>
    <n v="8.1999999999999993"/>
    <n v="7"/>
  </r>
  <r>
    <x v="13"/>
    <x v="1"/>
    <x v="2"/>
    <x v="0"/>
    <x v="4"/>
    <n v="141"/>
    <n v="5.3"/>
    <n v="30.94"/>
    <n v="8.3000000000000007"/>
    <n v="13"/>
  </r>
  <r>
    <x v="14"/>
    <x v="5"/>
    <x v="2"/>
    <x v="1"/>
    <x v="0"/>
    <n v="123"/>
    <n v="1.5"/>
    <n v="32.86"/>
    <n v="8.1"/>
    <n v="10"/>
  </r>
  <r>
    <x v="15"/>
    <x v="2"/>
    <x v="0"/>
    <x v="2"/>
    <x v="3"/>
    <n v="221"/>
    <n v="11.5"/>
    <n v="66.83"/>
    <n v="6.8"/>
    <n v="12"/>
  </r>
  <r>
    <x v="16"/>
    <x v="2"/>
    <x v="4"/>
    <x v="2"/>
    <x v="3"/>
    <n v="234"/>
    <n v="12.6"/>
    <n v="100.71"/>
    <n v="7.3"/>
    <n v="17"/>
  </r>
  <r>
    <x v="17"/>
    <x v="4"/>
    <x v="3"/>
    <x v="1"/>
    <x v="1"/>
    <n v="98"/>
    <n v="2.4"/>
    <n v="54.65"/>
    <n v="8.8000000000000007"/>
    <n v="11"/>
  </r>
  <r>
    <x v="18"/>
    <x v="1"/>
    <x v="2"/>
    <x v="3"/>
    <x v="0"/>
    <n v="84"/>
    <n v="3.9"/>
    <n v="41.26"/>
    <n v="9.6"/>
    <n v="2"/>
  </r>
  <r>
    <x v="19"/>
    <x v="4"/>
    <x v="1"/>
    <x v="1"/>
    <x v="4"/>
    <n v="122"/>
    <n v="4"/>
    <n v="34.46"/>
    <n v="8.9"/>
    <n v="6"/>
  </r>
  <r>
    <x v="20"/>
    <x v="6"/>
    <x v="2"/>
    <x v="3"/>
    <x v="3"/>
    <n v="63"/>
    <n v="3.1"/>
    <n v="27.4"/>
    <n v="7.9"/>
    <n v="10"/>
  </r>
  <r>
    <x v="21"/>
    <x v="6"/>
    <x v="2"/>
    <x v="3"/>
    <x v="0"/>
    <n v="152"/>
    <n v="1.9"/>
    <n v="58.74"/>
    <n v="8.6"/>
    <n v="11"/>
  </r>
  <r>
    <x v="22"/>
    <x v="0"/>
    <x v="1"/>
    <x v="1"/>
    <x v="4"/>
    <n v="221"/>
    <n v="1.8"/>
    <n v="46.37"/>
    <n v="6.8"/>
    <n v="7"/>
  </r>
  <r>
    <x v="23"/>
    <x v="0"/>
    <x v="1"/>
    <x v="1"/>
    <x v="3"/>
    <n v="93"/>
    <n v="3"/>
    <n v="36.49"/>
    <n v="6.7"/>
    <n v="0"/>
  </r>
  <r>
    <x v="24"/>
    <x v="0"/>
    <x v="1"/>
    <x v="0"/>
    <x v="4"/>
    <n v="141"/>
    <n v="7.3"/>
    <n v="63.78"/>
    <n v="8.9"/>
    <n v="1"/>
  </r>
  <r>
    <x v="25"/>
    <x v="0"/>
    <x v="2"/>
    <x v="2"/>
    <x v="0"/>
    <n v="119"/>
    <n v="13.9"/>
    <n v="30.52"/>
    <n v="8.4"/>
    <n v="7"/>
  </r>
  <r>
    <x v="26"/>
    <x v="1"/>
    <x v="0"/>
    <x v="0"/>
    <x v="4"/>
    <n v="165"/>
    <n v="7.7"/>
    <n v="57.54"/>
    <n v="8.6"/>
    <n v="8"/>
  </r>
  <r>
    <x v="27"/>
    <x v="6"/>
    <x v="2"/>
    <x v="0"/>
    <x v="1"/>
    <n v="158"/>
    <n v="6.9"/>
    <n v="77.27"/>
    <n v="8.5"/>
    <n v="12"/>
  </r>
  <r>
    <x v="28"/>
    <x v="1"/>
    <x v="4"/>
    <x v="3"/>
    <x v="0"/>
    <n v="169"/>
    <n v="2.5"/>
    <n v="82.61"/>
    <n v="8.4"/>
    <n v="6"/>
  </r>
  <r>
    <x v="29"/>
    <x v="6"/>
    <x v="4"/>
    <x v="0"/>
    <x v="4"/>
    <n v="106"/>
    <n v="6"/>
    <n v="52.99"/>
    <n v="8.1999999999999993"/>
    <n v="7"/>
  </r>
  <r>
    <x v="30"/>
    <x v="7"/>
    <x v="4"/>
    <x v="3"/>
    <x v="0"/>
    <n v="153"/>
    <n v="4.2"/>
    <n v="78.63"/>
    <n v="9"/>
    <n v="14"/>
  </r>
  <r>
    <x v="31"/>
    <x v="1"/>
    <x v="1"/>
    <x v="1"/>
    <x v="1"/>
    <n v="174"/>
    <n v="4.4000000000000004"/>
    <n v="76.25"/>
    <n v="9.1"/>
    <n v="4"/>
  </r>
  <r>
    <x v="32"/>
    <x v="5"/>
    <x v="4"/>
    <x v="3"/>
    <x v="3"/>
    <n v="95"/>
    <n v="4.5"/>
    <n v="17.75"/>
    <n v="7.6"/>
    <n v="0"/>
  </r>
  <r>
    <x v="33"/>
    <x v="1"/>
    <x v="1"/>
    <x v="1"/>
    <x v="4"/>
    <n v="69"/>
    <n v="4.0999999999999996"/>
    <n v="14.14"/>
    <n v="8.3000000000000007"/>
    <n v="0"/>
  </r>
  <r>
    <x v="34"/>
    <x v="5"/>
    <x v="2"/>
    <x v="3"/>
    <x v="0"/>
    <n v="138"/>
    <n v="2.4"/>
    <n v="74.540000000000006"/>
    <n v="9.1999999999999993"/>
    <n v="13"/>
  </r>
  <r>
    <x v="35"/>
    <x v="6"/>
    <x v="1"/>
    <x v="2"/>
    <x v="3"/>
    <n v="151"/>
    <n v="13.8"/>
    <n v="50.56"/>
    <n v="10"/>
    <n v="10"/>
  </r>
  <r>
    <x v="36"/>
    <x v="1"/>
    <x v="1"/>
    <x v="3"/>
    <x v="2"/>
    <n v="154"/>
    <n v="1.5"/>
    <n v="35"/>
    <n v="8.1999999999999993"/>
    <n v="14"/>
  </r>
  <r>
    <x v="37"/>
    <x v="0"/>
    <x v="3"/>
    <x v="0"/>
    <x v="1"/>
    <n v="204"/>
    <n v="8"/>
    <n v="63.88"/>
    <n v="7.7"/>
    <n v="6"/>
  </r>
  <r>
    <x v="38"/>
    <x v="1"/>
    <x v="0"/>
    <x v="3"/>
    <x v="4"/>
    <n v="122"/>
    <n v="3.3"/>
    <n v="41.48"/>
    <n v="7.2"/>
    <n v="5"/>
  </r>
  <r>
    <x v="39"/>
    <x v="0"/>
    <x v="0"/>
    <x v="1"/>
    <x v="3"/>
    <n v="191"/>
    <n v="2.2000000000000002"/>
    <n v="105.07"/>
    <n v="6.9"/>
    <n v="17"/>
  </r>
  <r>
    <x v="40"/>
    <x v="4"/>
    <x v="2"/>
    <x v="3"/>
    <x v="0"/>
    <n v="123"/>
    <n v="5.2"/>
    <n v="43.04"/>
    <n v="7.3"/>
    <n v="2"/>
  </r>
  <r>
    <x v="41"/>
    <x v="3"/>
    <x v="2"/>
    <x v="2"/>
    <x v="1"/>
    <n v="169"/>
    <n v="6.4"/>
    <n v="62.92"/>
    <n v="7.9"/>
    <n v="17"/>
  </r>
  <r>
    <x v="42"/>
    <x v="1"/>
    <x v="2"/>
    <x v="3"/>
    <x v="0"/>
    <n v="70"/>
    <n v="4"/>
    <n v="16.670000000000002"/>
    <n v="6.9"/>
    <n v="0"/>
  </r>
  <r>
    <x v="43"/>
    <x v="4"/>
    <x v="0"/>
    <x v="3"/>
    <x v="3"/>
    <n v="218"/>
    <n v="3.2"/>
    <n v="111.12"/>
    <n v="9"/>
    <n v="20"/>
  </r>
  <r>
    <x v="44"/>
    <x v="3"/>
    <x v="3"/>
    <x v="2"/>
    <x v="1"/>
    <n v="33"/>
    <n v="16.5"/>
    <n v="4.78"/>
    <n v="8.9"/>
    <n v="0"/>
  </r>
  <r>
    <x v="45"/>
    <x v="7"/>
    <x v="1"/>
    <x v="0"/>
    <x v="1"/>
    <n v="99"/>
    <n v="3"/>
    <n v="49.86"/>
    <n v="7.3"/>
    <n v="4"/>
  </r>
  <r>
    <x v="46"/>
    <x v="3"/>
    <x v="4"/>
    <x v="3"/>
    <x v="1"/>
    <n v="178"/>
    <n v="5.0999999999999996"/>
    <n v="37.450000000000003"/>
    <n v="6.9"/>
    <n v="6"/>
  </r>
  <r>
    <x v="47"/>
    <x v="3"/>
    <x v="3"/>
    <x v="2"/>
    <x v="0"/>
    <n v="192"/>
    <n v="14.7"/>
    <n v="41.44"/>
    <n v="8.6"/>
    <n v="16"/>
  </r>
  <r>
    <x v="48"/>
    <x v="5"/>
    <x v="0"/>
    <x v="3"/>
    <x v="1"/>
    <n v="147"/>
    <n v="2.1"/>
    <n v="70.52"/>
    <n v="9.4"/>
    <n v="4"/>
  </r>
  <r>
    <x v="49"/>
    <x v="5"/>
    <x v="3"/>
    <x v="2"/>
    <x v="4"/>
    <n v="206"/>
    <n v="12.3"/>
    <n v="93.65"/>
    <n v="7"/>
    <n v="9"/>
  </r>
  <r>
    <x v="50"/>
    <x v="4"/>
    <x v="1"/>
    <x v="0"/>
    <x v="4"/>
    <n v="111"/>
    <n v="9.1"/>
    <n v="53.3"/>
    <n v="7.9"/>
    <n v="4"/>
  </r>
  <r>
    <x v="51"/>
    <x v="7"/>
    <x v="3"/>
    <x v="0"/>
    <x v="0"/>
    <n v="188"/>
    <n v="7.6"/>
    <n v="82.19"/>
    <n v="9.9"/>
    <n v="13"/>
  </r>
  <r>
    <x v="52"/>
    <x v="6"/>
    <x v="0"/>
    <x v="3"/>
    <x v="4"/>
    <n v="147"/>
    <n v="3.3"/>
    <n v="49.36"/>
    <n v="9.1999999999999993"/>
    <n v="10"/>
  </r>
  <r>
    <x v="53"/>
    <x v="2"/>
    <x v="1"/>
    <x v="2"/>
    <x v="0"/>
    <n v="63"/>
    <n v="9.1999999999999993"/>
    <n v="13.07"/>
    <n v="7.7"/>
    <n v="2"/>
  </r>
  <r>
    <x v="54"/>
    <x v="2"/>
    <x v="2"/>
    <x v="2"/>
    <x v="3"/>
    <n v="85"/>
    <n v="11.4"/>
    <n v="40.770000000000003"/>
    <n v="8.3000000000000007"/>
    <n v="0"/>
  </r>
  <r>
    <x v="55"/>
    <x v="2"/>
    <x v="4"/>
    <x v="2"/>
    <x v="3"/>
    <n v="160"/>
    <n v="16"/>
    <n v="60.91"/>
    <n v="6.4"/>
    <n v="10"/>
  </r>
  <r>
    <x v="56"/>
    <x v="3"/>
    <x v="1"/>
    <x v="3"/>
    <x v="4"/>
    <n v="159"/>
    <n v="3.2"/>
    <n v="37.82"/>
    <n v="7.9"/>
    <n v="6"/>
  </r>
  <r>
    <x v="57"/>
    <x v="0"/>
    <x v="1"/>
    <x v="2"/>
    <x v="3"/>
    <n v="193"/>
    <n v="15"/>
    <n v="101.61"/>
    <n v="8.6"/>
    <n v="11"/>
  </r>
  <r>
    <x v="58"/>
    <x v="7"/>
    <x v="2"/>
    <x v="1"/>
    <x v="1"/>
    <n v="128"/>
    <n v="2"/>
    <n v="21.6"/>
    <n v="5.4"/>
    <n v="2"/>
  </r>
  <r>
    <x v="59"/>
    <x v="4"/>
    <x v="4"/>
    <x v="1"/>
    <x v="2"/>
    <n v="138"/>
    <n v="4.5"/>
    <n v="74.12"/>
    <n v="7"/>
    <n v="2"/>
  </r>
  <r>
    <x v="60"/>
    <x v="1"/>
    <x v="3"/>
    <x v="2"/>
    <x v="3"/>
    <n v="202"/>
    <n v="12.8"/>
    <n v="95.84"/>
    <n v="9.5"/>
    <n v="8"/>
  </r>
  <r>
    <x v="61"/>
    <x v="6"/>
    <x v="3"/>
    <x v="0"/>
    <x v="3"/>
    <n v="7"/>
    <n v="8"/>
    <n v="5.59"/>
    <n v="8.4"/>
    <n v="0"/>
  </r>
  <r>
    <x v="62"/>
    <x v="3"/>
    <x v="1"/>
    <x v="0"/>
    <x v="2"/>
    <n v="88"/>
    <n v="8.8000000000000007"/>
    <n v="29.75"/>
    <n v="8.5"/>
    <n v="2"/>
  </r>
  <r>
    <x v="63"/>
    <x v="0"/>
    <x v="2"/>
    <x v="0"/>
    <x v="4"/>
    <n v="269"/>
    <n v="5.8"/>
    <n v="146.08000000000001"/>
    <n v="7.6"/>
    <n v="10"/>
  </r>
  <r>
    <x v="64"/>
    <x v="2"/>
    <x v="4"/>
    <x v="3"/>
    <x v="4"/>
    <n v="89"/>
    <n v="3.6"/>
    <n v="59.29"/>
    <n v="6"/>
    <n v="5"/>
  </r>
  <r>
    <x v="65"/>
    <x v="0"/>
    <x v="1"/>
    <x v="2"/>
    <x v="4"/>
    <n v="153"/>
    <n v="12.1"/>
    <n v="22.49"/>
    <n v="8.1999999999999993"/>
    <n v="10"/>
  </r>
  <r>
    <x v="66"/>
    <x v="0"/>
    <x v="2"/>
    <x v="0"/>
    <x v="2"/>
    <n v="230"/>
    <n v="5.0999999999999996"/>
    <n v="58.59"/>
    <n v="7.8"/>
    <n v="9"/>
  </r>
  <r>
    <x v="67"/>
    <x v="3"/>
    <x v="1"/>
    <x v="0"/>
    <x v="3"/>
    <n v="182"/>
    <n v="12.7"/>
    <n v="27.26"/>
    <n v="6.5"/>
    <n v="5"/>
  </r>
  <r>
    <x v="68"/>
    <x v="5"/>
    <x v="0"/>
    <x v="1"/>
    <x v="1"/>
    <n v="152"/>
    <n v="4"/>
    <n v="74.36"/>
    <n v="6.5"/>
    <n v="9"/>
  </r>
  <r>
    <x v="69"/>
    <x v="5"/>
    <x v="4"/>
    <x v="3"/>
    <x v="4"/>
    <n v="264"/>
    <n v="2.5"/>
    <n v="89.99"/>
    <n v="8.1999999999999993"/>
    <n v="16"/>
  </r>
  <r>
    <x v="70"/>
    <x v="7"/>
    <x v="4"/>
    <x v="0"/>
    <x v="4"/>
    <n v="160"/>
    <n v="2.6"/>
    <n v="26.69"/>
    <n v="9.5"/>
    <n v="15"/>
  </r>
  <r>
    <x v="71"/>
    <x v="1"/>
    <x v="1"/>
    <x v="1"/>
    <x v="4"/>
    <n v="77"/>
    <n v="2.1"/>
    <n v="17.66"/>
    <n v="8.1"/>
    <n v="4"/>
  </r>
  <r>
    <x v="72"/>
    <x v="0"/>
    <x v="1"/>
    <x v="2"/>
    <x v="2"/>
    <n v="139"/>
    <n v="11"/>
    <n v="54.29"/>
    <n v="8.6999999999999993"/>
    <n v="7"/>
  </r>
  <r>
    <x v="73"/>
    <x v="6"/>
    <x v="2"/>
    <x v="0"/>
    <x v="0"/>
    <n v="121"/>
    <n v="11.3"/>
    <n v="39.06"/>
    <n v="8.4"/>
    <n v="1"/>
  </r>
  <r>
    <x v="74"/>
    <x v="0"/>
    <x v="4"/>
    <x v="2"/>
    <x v="4"/>
    <n v="220"/>
    <n v="14.6"/>
    <n v="104.3"/>
    <n v="7.7"/>
    <n v="11"/>
  </r>
  <r>
    <x v="75"/>
    <x v="0"/>
    <x v="2"/>
    <x v="3"/>
    <x v="1"/>
    <n v="174"/>
    <n v="4.9000000000000004"/>
    <n v="33.17"/>
    <n v="7.9"/>
    <n v="11"/>
  </r>
  <r>
    <x v="76"/>
    <x v="3"/>
    <x v="4"/>
    <x v="2"/>
    <x v="3"/>
    <n v="119"/>
    <n v="8.6"/>
    <n v="41.9"/>
    <n v="7.4"/>
    <n v="6"/>
  </r>
  <r>
    <x v="77"/>
    <x v="6"/>
    <x v="0"/>
    <x v="1"/>
    <x v="2"/>
    <n v="196"/>
    <n v="2.1"/>
    <n v="30.23"/>
    <n v="9.8000000000000007"/>
    <n v="11"/>
  </r>
  <r>
    <x v="78"/>
    <x v="0"/>
    <x v="0"/>
    <x v="1"/>
    <x v="3"/>
    <n v="146"/>
    <n v="3.4"/>
    <n v="50.48"/>
    <n v="7.4"/>
    <n v="12"/>
  </r>
  <r>
    <x v="79"/>
    <x v="3"/>
    <x v="1"/>
    <x v="3"/>
    <x v="1"/>
    <n v="127"/>
    <n v="5.9"/>
    <n v="67.34"/>
    <n v="8.4"/>
    <n v="9"/>
  </r>
  <r>
    <x v="80"/>
    <x v="1"/>
    <x v="0"/>
    <x v="3"/>
    <x v="0"/>
    <n v="148"/>
    <n v="4.7"/>
    <n v="29.5"/>
    <n v="6.5"/>
    <n v="3"/>
  </r>
  <r>
    <x v="81"/>
    <x v="5"/>
    <x v="0"/>
    <x v="0"/>
    <x v="1"/>
    <n v="144"/>
    <n v="4.3"/>
    <n v="48.79"/>
    <n v="8.5"/>
    <n v="10"/>
  </r>
  <r>
    <x v="82"/>
    <x v="1"/>
    <x v="1"/>
    <x v="0"/>
    <x v="4"/>
    <n v="186"/>
    <n v="8.5"/>
    <n v="94.07"/>
    <n v="6"/>
    <n v="12"/>
  </r>
  <r>
    <x v="83"/>
    <x v="7"/>
    <x v="3"/>
    <x v="3"/>
    <x v="0"/>
    <n v="147"/>
    <n v="2.7"/>
    <n v="57.69"/>
    <n v="9.5"/>
    <n v="7"/>
  </r>
  <r>
    <x v="84"/>
    <x v="0"/>
    <x v="4"/>
    <x v="0"/>
    <x v="4"/>
    <n v="98"/>
    <n v="1.1000000000000001"/>
    <n v="50.15"/>
    <n v="8.3000000000000007"/>
    <n v="7"/>
  </r>
  <r>
    <x v="85"/>
    <x v="0"/>
    <x v="1"/>
    <x v="0"/>
    <x v="3"/>
    <n v="92"/>
    <n v="5.3"/>
    <n v="57.61"/>
    <n v="6.7"/>
    <n v="8"/>
  </r>
  <r>
    <x v="86"/>
    <x v="4"/>
    <x v="2"/>
    <x v="3"/>
    <x v="0"/>
    <n v="34"/>
    <n v="3"/>
    <n v="7.13"/>
    <n v="5.3"/>
    <n v="0"/>
  </r>
  <r>
    <x v="87"/>
    <x v="7"/>
    <x v="0"/>
    <x v="0"/>
    <x v="0"/>
    <n v="174"/>
    <n v="6.2"/>
    <n v="81.290000000000006"/>
    <n v="6.1"/>
    <n v="11"/>
  </r>
  <r>
    <x v="88"/>
    <x v="3"/>
    <x v="0"/>
    <x v="2"/>
    <x v="2"/>
    <n v="123"/>
    <n v="7.7"/>
    <n v="41.14"/>
    <n v="7.3"/>
    <n v="6"/>
  </r>
  <r>
    <x v="89"/>
    <x v="4"/>
    <x v="2"/>
    <x v="3"/>
    <x v="0"/>
    <n v="124"/>
    <n v="6.1"/>
    <n v="51.35"/>
    <n v="8.6999999999999993"/>
    <n v="12"/>
  </r>
  <r>
    <x v="90"/>
    <x v="1"/>
    <x v="3"/>
    <x v="3"/>
    <x v="0"/>
    <n v="243"/>
    <n v="3.6"/>
    <n v="39.5"/>
    <n v="8.1"/>
    <n v="17"/>
  </r>
  <r>
    <x v="91"/>
    <x v="2"/>
    <x v="4"/>
    <x v="1"/>
    <x v="0"/>
    <n v="140"/>
    <n v="1.9"/>
    <n v="23.82"/>
    <n v="8.9"/>
    <n v="9"/>
  </r>
  <r>
    <x v="92"/>
    <x v="6"/>
    <x v="4"/>
    <x v="1"/>
    <x v="2"/>
    <n v="224"/>
    <n v="2.5"/>
    <n v="67.22"/>
    <n v="7.5"/>
    <n v="6"/>
  </r>
  <r>
    <x v="93"/>
    <x v="6"/>
    <x v="1"/>
    <x v="1"/>
    <x v="0"/>
    <n v="91"/>
    <n v="0.9"/>
    <n v="39.11"/>
    <n v="9.4"/>
    <n v="11"/>
  </r>
  <r>
    <x v="94"/>
    <x v="6"/>
    <x v="3"/>
    <x v="1"/>
    <x v="3"/>
    <n v="236"/>
    <n v="3.5"/>
    <n v="122.15"/>
    <n v="6.7"/>
    <n v="10"/>
  </r>
  <r>
    <x v="95"/>
    <x v="1"/>
    <x v="2"/>
    <x v="1"/>
    <x v="3"/>
    <n v="118"/>
    <n v="5.5"/>
    <n v="46.21"/>
    <n v="9.6"/>
    <n v="5"/>
  </r>
  <r>
    <x v="96"/>
    <x v="4"/>
    <x v="4"/>
    <x v="3"/>
    <x v="0"/>
    <n v="158"/>
    <n v="5.8"/>
    <n v="73.86"/>
    <n v="8.6999999999999993"/>
    <n v="6"/>
  </r>
  <r>
    <x v="97"/>
    <x v="0"/>
    <x v="3"/>
    <x v="3"/>
    <x v="4"/>
    <n v="135"/>
    <n v="4.3"/>
    <n v="78.84"/>
    <n v="7.7"/>
    <n v="12"/>
  </r>
  <r>
    <x v="98"/>
    <x v="6"/>
    <x v="3"/>
    <x v="3"/>
    <x v="0"/>
    <n v="225"/>
    <n v="2.7"/>
    <n v="45.25"/>
    <n v="6.6"/>
    <n v="13"/>
  </r>
  <r>
    <x v="99"/>
    <x v="4"/>
    <x v="3"/>
    <x v="0"/>
    <x v="2"/>
    <n v="113"/>
    <n v="6.5"/>
    <n v="24.55"/>
    <n v="6.2"/>
    <n v="4"/>
  </r>
  <r>
    <x v="100"/>
    <x v="5"/>
    <x v="3"/>
    <x v="0"/>
    <x v="3"/>
    <n v="164"/>
    <n v="6.1"/>
    <n v="56.95"/>
    <n v="8.5"/>
    <n v="12"/>
  </r>
  <r>
    <x v="101"/>
    <x v="3"/>
    <x v="4"/>
    <x v="1"/>
    <x v="1"/>
    <n v="119"/>
    <n v="4.3"/>
    <n v="28.63"/>
    <n v="7.5"/>
    <n v="13"/>
  </r>
  <r>
    <x v="102"/>
    <x v="3"/>
    <x v="1"/>
    <x v="0"/>
    <x v="3"/>
    <n v="159"/>
    <n v="7.4"/>
    <n v="46.11"/>
    <n v="6.7"/>
    <n v="8"/>
  </r>
  <r>
    <x v="103"/>
    <x v="0"/>
    <x v="2"/>
    <x v="2"/>
    <x v="2"/>
    <n v="91"/>
    <n v="9.1"/>
    <n v="23.32"/>
    <n v="8.6999999999999993"/>
    <n v="4"/>
  </r>
  <r>
    <x v="104"/>
    <x v="7"/>
    <x v="3"/>
    <x v="0"/>
    <x v="3"/>
    <n v="23"/>
    <n v="3.6"/>
    <n v="4.7"/>
    <n v="9.4"/>
    <n v="8"/>
  </r>
  <r>
    <x v="105"/>
    <x v="5"/>
    <x v="4"/>
    <x v="1"/>
    <x v="2"/>
    <n v="132"/>
    <n v="4.4000000000000004"/>
    <n v="61.59"/>
    <n v="8.1"/>
    <n v="6"/>
  </r>
  <r>
    <x v="106"/>
    <x v="6"/>
    <x v="0"/>
    <x v="1"/>
    <x v="1"/>
    <n v="141"/>
    <n v="2.6"/>
    <n v="46.54"/>
    <n v="7.4"/>
    <n v="12"/>
  </r>
  <r>
    <x v="107"/>
    <x v="6"/>
    <x v="2"/>
    <x v="0"/>
    <x v="0"/>
    <n v="191"/>
    <n v="5.9"/>
    <n v="53.59"/>
    <n v="7.6"/>
    <n v="8"/>
  </r>
  <r>
    <x v="108"/>
    <x v="2"/>
    <x v="1"/>
    <x v="0"/>
    <x v="0"/>
    <n v="139"/>
    <n v="10.1"/>
    <n v="42.45"/>
    <n v="7.3"/>
    <n v="4"/>
  </r>
  <r>
    <x v="109"/>
    <x v="6"/>
    <x v="3"/>
    <x v="2"/>
    <x v="3"/>
    <n v="76"/>
    <n v="11.2"/>
    <n v="38.049999999999997"/>
    <n v="8.5"/>
    <n v="7"/>
  </r>
  <r>
    <x v="110"/>
    <x v="5"/>
    <x v="2"/>
    <x v="3"/>
    <x v="1"/>
    <n v="77"/>
    <n v="1.8"/>
    <n v="32.200000000000003"/>
    <n v="7.8"/>
    <n v="7"/>
  </r>
  <r>
    <x v="111"/>
    <x v="0"/>
    <x v="1"/>
    <x v="3"/>
    <x v="4"/>
    <n v="147"/>
    <n v="3.4"/>
    <n v="60.49"/>
    <n v="5.0999999999999996"/>
    <n v="8"/>
  </r>
  <r>
    <x v="112"/>
    <x v="0"/>
    <x v="4"/>
    <x v="2"/>
    <x v="3"/>
    <n v="155"/>
    <n v="10.7"/>
    <n v="46.82"/>
    <n v="8.6"/>
    <n v="14"/>
  </r>
  <r>
    <x v="113"/>
    <x v="3"/>
    <x v="1"/>
    <x v="2"/>
    <x v="1"/>
    <n v="171"/>
    <n v="6.7"/>
    <n v="54.43"/>
    <n v="7.7"/>
    <n v="13"/>
  </r>
  <r>
    <x v="114"/>
    <x v="1"/>
    <x v="3"/>
    <x v="1"/>
    <x v="0"/>
    <n v="190"/>
    <n v="4.5"/>
    <n v="34.33"/>
    <n v="7.6"/>
    <n v="12"/>
  </r>
  <r>
    <x v="115"/>
    <x v="0"/>
    <x v="4"/>
    <x v="1"/>
    <x v="3"/>
    <n v="124"/>
    <n v="3.2"/>
    <n v="28.4"/>
    <n v="7.3"/>
    <n v="5"/>
  </r>
  <r>
    <x v="116"/>
    <x v="4"/>
    <x v="2"/>
    <x v="3"/>
    <x v="1"/>
    <n v="238"/>
    <n v="5.2"/>
    <n v="90.39"/>
    <n v="7.9"/>
    <n v="13"/>
  </r>
  <r>
    <x v="117"/>
    <x v="1"/>
    <x v="0"/>
    <x v="3"/>
    <x v="3"/>
    <n v="217"/>
    <n v="4.3"/>
    <n v="114.54"/>
    <n v="7"/>
    <n v="12"/>
  </r>
  <r>
    <x v="118"/>
    <x v="7"/>
    <x v="2"/>
    <x v="2"/>
    <x v="2"/>
    <n v="165"/>
    <n v="17.100000000000001"/>
    <n v="28.42"/>
    <n v="7.9"/>
    <n v="11"/>
  </r>
  <r>
    <x v="119"/>
    <x v="5"/>
    <x v="2"/>
    <x v="2"/>
    <x v="3"/>
    <n v="170"/>
    <n v="9"/>
    <n v="92.28"/>
    <n v="8.1999999999999993"/>
    <n v="13"/>
  </r>
  <r>
    <x v="120"/>
    <x v="3"/>
    <x v="0"/>
    <x v="3"/>
    <x v="4"/>
    <n v="131"/>
    <n v="5"/>
    <n v="32.57"/>
    <n v="8.6999999999999993"/>
    <n v="12"/>
  </r>
  <r>
    <x v="121"/>
    <x v="0"/>
    <x v="0"/>
    <x v="0"/>
    <x v="0"/>
    <n v="84"/>
    <n v="8.9"/>
    <n v="29.67"/>
    <n v="9.5"/>
    <n v="2"/>
  </r>
  <r>
    <x v="122"/>
    <x v="5"/>
    <x v="2"/>
    <x v="1"/>
    <x v="4"/>
    <n v="102"/>
    <n v="1.9"/>
    <n v="59.96"/>
    <n v="9.1"/>
    <n v="1"/>
  </r>
  <r>
    <x v="123"/>
    <x v="6"/>
    <x v="1"/>
    <x v="1"/>
    <x v="2"/>
    <n v="19"/>
    <n v="2.6"/>
    <n v="1"/>
    <n v="7.8"/>
    <n v="0"/>
  </r>
  <r>
    <x v="124"/>
    <x v="3"/>
    <x v="0"/>
    <x v="2"/>
    <x v="0"/>
    <n v="206"/>
    <n v="13.4"/>
    <n v="71.33"/>
    <n v="7.2"/>
    <n v="11"/>
  </r>
  <r>
    <x v="125"/>
    <x v="7"/>
    <x v="1"/>
    <x v="3"/>
    <x v="1"/>
    <n v="166"/>
    <n v="2.5"/>
    <n v="55.63"/>
    <n v="7.1"/>
    <n v="8"/>
  </r>
  <r>
    <x v="126"/>
    <x v="6"/>
    <x v="0"/>
    <x v="0"/>
    <x v="2"/>
    <n v="110"/>
    <n v="7.1"/>
    <n v="21.9"/>
    <n v="10"/>
    <n v="9"/>
  </r>
  <r>
    <x v="127"/>
    <x v="5"/>
    <x v="4"/>
    <x v="3"/>
    <x v="0"/>
    <n v="50"/>
    <n v="5.8"/>
    <n v="9.2200000000000006"/>
    <n v="8"/>
    <n v="3"/>
  </r>
  <r>
    <x v="128"/>
    <x v="1"/>
    <x v="2"/>
    <x v="1"/>
    <x v="0"/>
    <n v="98"/>
    <n v="3"/>
    <n v="21.75"/>
    <n v="6.7"/>
    <n v="7"/>
  </r>
  <r>
    <x v="129"/>
    <x v="1"/>
    <x v="0"/>
    <x v="0"/>
    <x v="4"/>
    <n v="222"/>
    <n v="8.9"/>
    <n v="93.37"/>
    <n v="7.9"/>
    <n v="17"/>
  </r>
  <r>
    <x v="130"/>
    <x v="6"/>
    <x v="3"/>
    <x v="3"/>
    <x v="1"/>
    <n v="190"/>
    <n v="5.2"/>
    <n v="35.99"/>
    <n v="8.3000000000000007"/>
    <n v="10"/>
  </r>
  <r>
    <x v="131"/>
    <x v="5"/>
    <x v="1"/>
    <x v="1"/>
    <x v="1"/>
    <n v="216"/>
    <n v="4"/>
    <n v="34.96"/>
    <n v="7.2"/>
    <n v="13"/>
  </r>
  <r>
    <x v="132"/>
    <x v="0"/>
    <x v="2"/>
    <x v="3"/>
    <x v="0"/>
    <n v="182"/>
    <n v="3"/>
    <n v="55.95"/>
    <n v="8.6999999999999993"/>
    <n v="8"/>
  </r>
  <r>
    <x v="133"/>
    <x v="4"/>
    <x v="4"/>
    <x v="1"/>
    <x v="2"/>
    <n v="113"/>
    <n v="4.5"/>
    <n v="53.72"/>
    <n v="7.9"/>
    <n v="17"/>
  </r>
  <r>
    <x v="134"/>
    <x v="3"/>
    <x v="0"/>
    <x v="1"/>
    <x v="1"/>
    <n v="79"/>
    <n v="2.6"/>
    <n v="41.83"/>
    <n v="8.4"/>
    <n v="3"/>
  </r>
  <r>
    <x v="135"/>
    <x v="1"/>
    <x v="3"/>
    <x v="1"/>
    <x v="3"/>
    <n v="87"/>
    <n v="2.6"/>
    <n v="39.92"/>
    <n v="8.6999999999999993"/>
    <n v="5"/>
  </r>
  <r>
    <x v="136"/>
    <x v="0"/>
    <x v="1"/>
    <x v="0"/>
    <x v="1"/>
    <n v="206"/>
    <n v="8.6"/>
    <n v="66.59"/>
    <n v="8.4"/>
    <n v="16"/>
  </r>
  <r>
    <x v="137"/>
    <x v="6"/>
    <x v="4"/>
    <x v="3"/>
    <x v="3"/>
    <n v="282"/>
    <n v="2.4"/>
    <n v="143.78"/>
    <n v="8.1999999999999993"/>
    <n v="11"/>
  </r>
  <r>
    <x v="138"/>
    <x v="1"/>
    <x v="4"/>
    <x v="2"/>
    <x v="2"/>
    <n v="220"/>
    <n v="6.8"/>
    <n v="56.58"/>
    <n v="8.1999999999999993"/>
    <n v="9"/>
  </r>
  <r>
    <x v="139"/>
    <x v="3"/>
    <x v="0"/>
    <x v="0"/>
    <x v="1"/>
    <n v="172"/>
    <n v="6.5"/>
    <n v="55.99"/>
    <n v="10"/>
    <n v="11"/>
  </r>
  <r>
    <x v="140"/>
    <x v="1"/>
    <x v="1"/>
    <x v="3"/>
    <x v="3"/>
    <n v="139"/>
    <n v="4.5"/>
    <n v="43.91"/>
    <n v="7.7"/>
    <n v="14"/>
  </r>
  <r>
    <x v="141"/>
    <x v="4"/>
    <x v="2"/>
    <x v="3"/>
    <x v="4"/>
    <n v="98"/>
    <n v="6.2"/>
    <n v="19.16"/>
    <n v="8.9"/>
    <n v="9"/>
  </r>
  <r>
    <x v="142"/>
    <x v="7"/>
    <x v="4"/>
    <x v="1"/>
    <x v="2"/>
    <n v="100"/>
    <n v="1.6"/>
    <n v="55.81"/>
    <n v="7.9"/>
    <n v="13"/>
  </r>
  <r>
    <x v="143"/>
    <x v="1"/>
    <x v="2"/>
    <x v="0"/>
    <x v="0"/>
    <n v="119"/>
    <n v="6.2"/>
    <n v="61.86"/>
    <n v="8.5"/>
    <n v="3"/>
  </r>
  <r>
    <x v="144"/>
    <x v="2"/>
    <x v="3"/>
    <x v="0"/>
    <x v="0"/>
    <n v="141"/>
    <n v="7.6"/>
    <n v="10.45"/>
    <n v="9.1"/>
    <n v="0"/>
  </r>
  <r>
    <x v="145"/>
    <x v="4"/>
    <x v="2"/>
    <x v="0"/>
    <x v="0"/>
    <n v="78"/>
    <n v="4.4000000000000004"/>
    <n v="29.19"/>
    <n v="7.8"/>
    <n v="3"/>
  </r>
  <r>
    <x v="146"/>
    <x v="1"/>
    <x v="1"/>
    <x v="0"/>
    <x v="0"/>
    <n v="246"/>
    <n v="6.5"/>
    <n v="106.02"/>
    <n v="8.3000000000000007"/>
    <n v="13"/>
  </r>
  <r>
    <x v="147"/>
    <x v="6"/>
    <x v="1"/>
    <x v="0"/>
    <x v="4"/>
    <n v="155"/>
    <n v="12"/>
    <n v="62.49"/>
    <n v="10"/>
    <n v="9"/>
  </r>
  <r>
    <x v="148"/>
    <x v="7"/>
    <x v="1"/>
    <x v="1"/>
    <x v="4"/>
    <n v="102"/>
    <n v="4.2"/>
    <n v="54.2"/>
    <n v="8.3000000000000007"/>
    <n v="10"/>
  </r>
  <r>
    <x v="149"/>
    <x v="1"/>
    <x v="2"/>
    <x v="2"/>
    <x v="0"/>
    <n v="168"/>
    <n v="12.4"/>
    <n v="74.239999999999995"/>
    <n v="10"/>
    <n v="9"/>
  </r>
  <r>
    <x v="150"/>
    <x v="4"/>
    <x v="0"/>
    <x v="1"/>
    <x v="2"/>
    <n v="94"/>
    <n v="2.4"/>
    <n v="23.37"/>
    <n v="8.4"/>
    <n v="4"/>
  </r>
  <r>
    <x v="151"/>
    <x v="0"/>
    <x v="0"/>
    <x v="2"/>
    <x v="1"/>
    <n v="188"/>
    <n v="11.4"/>
    <n v="75.06"/>
    <n v="8.8000000000000007"/>
    <n v="8"/>
  </r>
  <r>
    <x v="152"/>
    <x v="5"/>
    <x v="2"/>
    <x v="2"/>
    <x v="0"/>
    <n v="196"/>
    <n v="7.3"/>
    <n v="109.99"/>
    <n v="8"/>
    <n v="0"/>
  </r>
  <r>
    <x v="153"/>
    <x v="7"/>
    <x v="0"/>
    <x v="0"/>
    <x v="3"/>
    <n v="82"/>
    <n v="6.3"/>
    <n v="17.97"/>
    <n v="5.9"/>
    <n v="7"/>
  </r>
  <r>
    <x v="154"/>
    <x v="3"/>
    <x v="3"/>
    <x v="3"/>
    <x v="4"/>
    <n v="174"/>
    <n v="4"/>
    <n v="66.489999999999995"/>
    <n v="7.7"/>
    <n v="8"/>
  </r>
  <r>
    <x v="155"/>
    <x v="4"/>
    <x v="4"/>
    <x v="3"/>
    <x v="1"/>
    <n v="125"/>
    <n v="5.8"/>
    <n v="39.6"/>
    <n v="8.8000000000000007"/>
    <n v="0"/>
  </r>
  <r>
    <x v="156"/>
    <x v="5"/>
    <x v="3"/>
    <x v="3"/>
    <x v="2"/>
    <n v="38"/>
    <n v="3.1"/>
    <n v="8.76"/>
    <n v="5.7"/>
    <n v="2"/>
  </r>
  <r>
    <x v="157"/>
    <x v="4"/>
    <x v="4"/>
    <x v="1"/>
    <x v="3"/>
    <n v="23"/>
    <n v="4.5"/>
    <n v="3.34"/>
    <n v="7.3"/>
    <n v="5"/>
  </r>
  <r>
    <x v="158"/>
    <x v="0"/>
    <x v="0"/>
    <x v="2"/>
    <x v="3"/>
    <n v="189"/>
    <n v="8.1999999999999993"/>
    <n v="72.31"/>
    <n v="8.4"/>
    <n v="8"/>
  </r>
  <r>
    <x v="159"/>
    <x v="1"/>
    <x v="2"/>
    <x v="1"/>
    <x v="4"/>
    <n v="108"/>
    <n v="3.4"/>
    <n v="57.59"/>
    <n v="9.6"/>
    <n v="0"/>
  </r>
  <r>
    <x v="160"/>
    <x v="7"/>
    <x v="0"/>
    <x v="0"/>
    <x v="4"/>
    <n v="146"/>
    <n v="8"/>
    <n v="38.24"/>
    <n v="7.8"/>
    <n v="10"/>
  </r>
  <r>
    <x v="161"/>
    <x v="4"/>
    <x v="3"/>
    <x v="2"/>
    <x v="4"/>
    <n v="53"/>
    <n v="13.9"/>
    <n v="28.51"/>
    <n v="5"/>
    <n v="4"/>
  </r>
  <r>
    <x v="162"/>
    <x v="5"/>
    <x v="4"/>
    <x v="3"/>
    <x v="1"/>
    <n v="30"/>
    <n v="4.4000000000000004"/>
    <n v="15.82"/>
    <n v="7.9"/>
    <n v="1"/>
  </r>
  <r>
    <x v="163"/>
    <x v="3"/>
    <x v="0"/>
    <x v="0"/>
    <x v="4"/>
    <n v="108"/>
    <n v="9.9"/>
    <n v="42.58"/>
    <n v="9.4"/>
    <n v="1"/>
  </r>
  <r>
    <x v="164"/>
    <x v="0"/>
    <x v="1"/>
    <x v="2"/>
    <x v="1"/>
    <n v="164"/>
    <n v="4.5999999999999996"/>
    <n v="71.819999999999993"/>
    <n v="8.6"/>
    <n v="11"/>
  </r>
  <r>
    <x v="165"/>
    <x v="5"/>
    <x v="2"/>
    <x v="1"/>
    <x v="2"/>
    <n v="140"/>
    <n v="2.1"/>
    <n v="65.8"/>
    <n v="8.5"/>
    <n v="0"/>
  </r>
  <r>
    <x v="166"/>
    <x v="0"/>
    <x v="3"/>
    <x v="0"/>
    <x v="3"/>
    <n v="58"/>
    <n v="7.9"/>
    <n v="14"/>
    <n v="7.5"/>
    <n v="4"/>
  </r>
  <r>
    <x v="167"/>
    <x v="5"/>
    <x v="2"/>
    <x v="3"/>
    <x v="3"/>
    <n v="224"/>
    <n v="3.9"/>
    <n v="70.08"/>
    <n v="8.1"/>
    <n v="18"/>
  </r>
  <r>
    <x v="168"/>
    <x v="2"/>
    <x v="2"/>
    <x v="2"/>
    <x v="2"/>
    <n v="55"/>
    <n v="12.1"/>
    <n v="19.649999999999999"/>
    <n v="9.5"/>
    <n v="3"/>
  </r>
  <r>
    <x v="169"/>
    <x v="0"/>
    <x v="4"/>
    <x v="3"/>
    <x v="1"/>
    <n v="151"/>
    <n v="3.9"/>
    <n v="73.31"/>
    <n v="8.1"/>
    <n v="4"/>
  </r>
  <r>
    <x v="170"/>
    <x v="1"/>
    <x v="0"/>
    <x v="1"/>
    <x v="1"/>
    <n v="164"/>
    <n v="2.4"/>
    <n v="75.099999999999994"/>
    <n v="9.4"/>
    <n v="2"/>
  </r>
  <r>
    <x v="171"/>
    <x v="4"/>
    <x v="0"/>
    <x v="1"/>
    <x v="3"/>
    <n v="165"/>
    <n v="3.5"/>
    <n v="63.46"/>
    <n v="9.9"/>
    <n v="16"/>
  </r>
  <r>
    <x v="172"/>
    <x v="3"/>
    <x v="0"/>
    <x v="0"/>
    <x v="1"/>
    <n v="118"/>
    <n v="12.9"/>
    <n v="39.08"/>
    <n v="8.5"/>
    <n v="18"/>
  </r>
  <r>
    <x v="173"/>
    <x v="1"/>
    <x v="4"/>
    <x v="0"/>
    <x v="0"/>
    <n v="225"/>
    <n v="10.3"/>
    <n v="67.900000000000006"/>
    <n v="9.5"/>
    <n v="13"/>
  </r>
  <r>
    <x v="174"/>
    <x v="7"/>
    <x v="3"/>
    <x v="2"/>
    <x v="4"/>
    <n v="174"/>
    <n v="13.2"/>
    <n v="67.02"/>
    <n v="9.9"/>
    <n v="9"/>
  </r>
  <r>
    <x v="175"/>
    <x v="6"/>
    <x v="3"/>
    <x v="0"/>
    <x v="3"/>
    <n v="270"/>
    <n v="9.6999999999999993"/>
    <n v="45.76"/>
    <n v="8.4"/>
    <n v="18"/>
  </r>
  <r>
    <x v="176"/>
    <x v="0"/>
    <x v="2"/>
    <x v="2"/>
    <x v="2"/>
    <n v="167"/>
    <n v="15.3"/>
    <n v="74.290000000000006"/>
    <n v="9.1999999999999993"/>
    <n v="14"/>
  </r>
  <r>
    <x v="177"/>
    <x v="2"/>
    <x v="0"/>
    <x v="2"/>
    <x v="4"/>
    <n v="44"/>
    <n v="17"/>
    <n v="21.32"/>
    <n v="8.4"/>
    <n v="4"/>
  </r>
  <r>
    <x v="178"/>
    <x v="0"/>
    <x v="4"/>
    <x v="0"/>
    <x v="2"/>
    <n v="130"/>
    <n v="11.4"/>
    <n v="70.5"/>
    <n v="8.8000000000000007"/>
    <n v="3"/>
  </r>
  <r>
    <x v="179"/>
    <x v="1"/>
    <x v="2"/>
    <x v="1"/>
    <x v="2"/>
    <n v="257"/>
    <n v="3"/>
    <n v="109.17"/>
    <n v="8.6999999999999993"/>
    <n v="17"/>
  </r>
  <r>
    <x v="180"/>
    <x v="5"/>
    <x v="3"/>
    <x v="0"/>
    <x v="3"/>
    <n v="206"/>
    <n v="7.5"/>
    <n v="46.04"/>
    <n v="8.1999999999999993"/>
    <n v="12"/>
  </r>
  <r>
    <x v="181"/>
    <x v="4"/>
    <x v="1"/>
    <x v="0"/>
    <x v="2"/>
    <n v="204"/>
    <n v="2.4"/>
    <n v="46.53"/>
    <n v="9"/>
    <n v="8"/>
  </r>
  <r>
    <x v="182"/>
    <x v="2"/>
    <x v="4"/>
    <x v="1"/>
    <x v="3"/>
    <n v="147"/>
    <n v="2.7"/>
    <n v="84.65"/>
    <n v="8.9"/>
    <n v="11"/>
  </r>
  <r>
    <x v="183"/>
    <x v="6"/>
    <x v="4"/>
    <x v="3"/>
    <x v="1"/>
    <n v="207"/>
    <n v="2.5"/>
    <n v="78.92"/>
    <n v="8.6"/>
    <n v="4"/>
  </r>
  <r>
    <x v="184"/>
    <x v="1"/>
    <x v="1"/>
    <x v="1"/>
    <x v="1"/>
    <n v="198"/>
    <n v="5.0999999999999996"/>
    <n v="76.16"/>
    <n v="7.9"/>
    <n v="6"/>
  </r>
  <r>
    <x v="185"/>
    <x v="7"/>
    <x v="1"/>
    <x v="3"/>
    <x v="3"/>
    <n v="57"/>
    <n v="1.9"/>
    <n v="33.17"/>
    <n v="8.3000000000000007"/>
    <n v="2"/>
  </r>
  <r>
    <x v="186"/>
    <x v="1"/>
    <x v="0"/>
    <x v="3"/>
    <x v="4"/>
    <n v="116"/>
    <n v="5.2"/>
    <n v="45.35"/>
    <n v="9.3000000000000007"/>
    <n v="0"/>
  </r>
  <r>
    <x v="187"/>
    <x v="6"/>
    <x v="2"/>
    <x v="3"/>
    <x v="1"/>
    <n v="184"/>
    <n v="4.3"/>
    <n v="78.150000000000006"/>
    <n v="6.3"/>
    <n v="12"/>
  </r>
  <r>
    <x v="188"/>
    <x v="7"/>
    <x v="2"/>
    <x v="1"/>
    <x v="0"/>
    <n v="111"/>
    <n v="1.9"/>
    <n v="53.02"/>
    <n v="7.6"/>
    <n v="9"/>
  </r>
  <r>
    <x v="189"/>
    <x v="6"/>
    <x v="4"/>
    <x v="1"/>
    <x v="1"/>
    <n v="171"/>
    <n v="1.5"/>
    <n v="44.14"/>
    <n v="8.6999999999999993"/>
    <n v="9"/>
  </r>
  <r>
    <x v="190"/>
    <x v="0"/>
    <x v="0"/>
    <x v="3"/>
    <x v="3"/>
    <n v="5"/>
    <n v="3.6"/>
    <n v="2.64"/>
    <n v="9"/>
    <n v="0"/>
  </r>
  <r>
    <x v="191"/>
    <x v="1"/>
    <x v="4"/>
    <x v="0"/>
    <x v="3"/>
    <n v="180"/>
    <n v="4.2"/>
    <n v="46.37"/>
    <n v="7.4"/>
    <n v="14"/>
  </r>
  <r>
    <x v="192"/>
    <x v="2"/>
    <x v="3"/>
    <x v="1"/>
    <x v="4"/>
    <n v="177"/>
    <n v="2.1"/>
    <n v="64.13"/>
    <n v="6.6"/>
    <n v="12"/>
  </r>
  <r>
    <x v="193"/>
    <x v="4"/>
    <x v="4"/>
    <x v="3"/>
    <x v="2"/>
    <n v="270"/>
    <n v="3.1"/>
    <n v="143.61000000000001"/>
    <n v="8.6999999999999993"/>
    <n v="20"/>
  </r>
  <r>
    <x v="194"/>
    <x v="6"/>
    <x v="0"/>
    <x v="2"/>
    <x v="4"/>
    <n v="236"/>
    <n v="13"/>
    <n v="41.64"/>
    <n v="8.6999999999999993"/>
    <n v="12"/>
  </r>
  <r>
    <x v="195"/>
    <x v="3"/>
    <x v="4"/>
    <x v="1"/>
    <x v="0"/>
    <n v="187"/>
    <n v="3.1"/>
    <n v="100.85"/>
    <n v="8.3000000000000007"/>
    <n v="13"/>
  </r>
  <r>
    <x v="196"/>
    <x v="6"/>
    <x v="3"/>
    <x v="3"/>
    <x v="1"/>
    <n v="94"/>
    <n v="4.5999999999999996"/>
    <n v="45.74"/>
    <n v="8"/>
    <n v="8"/>
  </r>
  <r>
    <x v="197"/>
    <x v="4"/>
    <x v="2"/>
    <x v="1"/>
    <x v="0"/>
    <n v="215"/>
    <n v="3"/>
    <n v="89.58"/>
    <n v="8.1"/>
    <n v="6"/>
  </r>
  <r>
    <x v="198"/>
    <x v="4"/>
    <x v="1"/>
    <x v="0"/>
    <x v="3"/>
    <n v="173"/>
    <n v="12.4"/>
    <n v="72.92"/>
    <n v="7"/>
    <n v="8"/>
  </r>
  <r>
    <x v="199"/>
    <x v="2"/>
    <x v="2"/>
    <x v="1"/>
    <x v="2"/>
    <n v="178"/>
    <n v="3.7"/>
    <n v="86.15"/>
    <n v="8.1"/>
    <n v="12"/>
  </r>
  <r>
    <x v="200"/>
    <x v="2"/>
    <x v="0"/>
    <x v="0"/>
    <x v="0"/>
    <n v="124"/>
    <n v="7.6"/>
    <n v="53.98"/>
    <n v="8"/>
    <n v="11"/>
  </r>
  <r>
    <x v="201"/>
    <x v="7"/>
    <x v="0"/>
    <x v="1"/>
    <x v="4"/>
    <n v="173"/>
    <n v="2.8"/>
    <n v="38.56"/>
    <n v="8.6999999999999993"/>
    <n v="5"/>
  </r>
  <r>
    <x v="202"/>
    <x v="6"/>
    <x v="3"/>
    <x v="3"/>
    <x v="0"/>
    <n v="47"/>
    <n v="2.2999999999999998"/>
    <n v="30.73"/>
    <n v="7.9"/>
    <n v="1"/>
  </r>
  <r>
    <x v="203"/>
    <x v="0"/>
    <x v="4"/>
    <x v="2"/>
    <x v="4"/>
    <n v="27"/>
    <n v="7.9"/>
    <n v="7.97"/>
    <n v="7.8"/>
    <n v="0"/>
  </r>
  <r>
    <x v="204"/>
    <x v="3"/>
    <x v="2"/>
    <x v="0"/>
    <x v="0"/>
    <n v="40"/>
    <n v="1.4"/>
    <n v="13.19"/>
    <n v="8.1"/>
    <n v="0"/>
  </r>
  <r>
    <x v="205"/>
    <x v="7"/>
    <x v="3"/>
    <x v="3"/>
    <x v="3"/>
    <n v="169"/>
    <n v="4.3"/>
    <n v="59.75"/>
    <n v="9.1999999999999993"/>
    <n v="8"/>
  </r>
  <r>
    <x v="206"/>
    <x v="4"/>
    <x v="3"/>
    <x v="0"/>
    <x v="0"/>
    <n v="70"/>
    <n v="4.7"/>
    <n v="14.83"/>
    <n v="8.5"/>
    <n v="0"/>
  </r>
  <r>
    <x v="207"/>
    <x v="6"/>
    <x v="3"/>
    <x v="2"/>
    <x v="2"/>
    <n v="25"/>
    <n v="18.600000000000001"/>
    <n v="22.58"/>
    <n v="6.3"/>
    <n v="0"/>
  </r>
  <r>
    <x v="208"/>
    <x v="5"/>
    <x v="1"/>
    <x v="3"/>
    <x v="1"/>
    <n v="154"/>
    <n v="5.8"/>
    <n v="43.98"/>
    <n v="6.8"/>
    <n v="8"/>
  </r>
  <r>
    <x v="209"/>
    <x v="6"/>
    <x v="0"/>
    <x v="1"/>
    <x v="1"/>
    <n v="93"/>
    <n v="3.8"/>
    <n v="16.489999999999998"/>
    <n v="8.1999999999999993"/>
    <n v="4"/>
  </r>
  <r>
    <x v="210"/>
    <x v="3"/>
    <x v="4"/>
    <x v="0"/>
    <x v="4"/>
    <n v="220"/>
    <n v="3.9"/>
    <n v="69.3"/>
    <n v="7.8"/>
    <n v="14"/>
  </r>
  <r>
    <x v="211"/>
    <x v="1"/>
    <x v="1"/>
    <x v="3"/>
    <x v="0"/>
    <n v="92"/>
    <n v="4.2"/>
    <n v="26.87"/>
    <n v="8.5"/>
    <n v="8"/>
  </r>
  <r>
    <x v="212"/>
    <x v="4"/>
    <x v="0"/>
    <x v="1"/>
    <x v="4"/>
    <n v="84"/>
    <n v="2.2000000000000002"/>
    <n v="21.42"/>
    <n v="8"/>
    <n v="0"/>
  </r>
  <r>
    <x v="213"/>
    <x v="1"/>
    <x v="2"/>
    <x v="2"/>
    <x v="3"/>
    <n v="253"/>
    <n v="1.6"/>
    <n v="66.91"/>
    <n v="8.1999999999999993"/>
    <n v="11"/>
  </r>
  <r>
    <x v="214"/>
    <x v="3"/>
    <x v="4"/>
    <x v="1"/>
    <x v="1"/>
    <n v="113"/>
    <n v="3.5"/>
    <n v="46.37"/>
    <n v="8.6999999999999993"/>
    <n v="5"/>
  </r>
  <r>
    <x v="215"/>
    <x v="1"/>
    <x v="2"/>
    <x v="2"/>
    <x v="4"/>
    <n v="136"/>
    <n v="14.6"/>
    <n v="67.66"/>
    <n v="8.6999999999999993"/>
    <n v="8"/>
  </r>
  <r>
    <x v="216"/>
    <x v="2"/>
    <x v="2"/>
    <x v="3"/>
    <x v="3"/>
    <n v="243"/>
    <n v="1.3"/>
    <n v="78.42"/>
    <n v="7.9"/>
    <n v="13"/>
  </r>
  <r>
    <x v="217"/>
    <x v="1"/>
    <x v="0"/>
    <x v="1"/>
    <x v="1"/>
    <n v="168"/>
    <n v="1.9"/>
    <n v="25.6"/>
    <n v="8.5"/>
    <n v="12"/>
  </r>
  <r>
    <x v="218"/>
    <x v="3"/>
    <x v="2"/>
    <x v="1"/>
    <x v="3"/>
    <n v="30"/>
    <n v="2.5"/>
    <n v="4.5599999999999996"/>
    <n v="5.9"/>
    <n v="0"/>
  </r>
  <r>
    <x v="219"/>
    <x v="2"/>
    <x v="0"/>
    <x v="3"/>
    <x v="4"/>
    <n v="133"/>
    <n v="6.3"/>
    <n v="48.9"/>
    <n v="7.7"/>
    <n v="6"/>
  </r>
  <r>
    <x v="220"/>
    <x v="5"/>
    <x v="1"/>
    <x v="2"/>
    <x v="1"/>
    <n v="78"/>
    <n v="10.4"/>
    <n v="23.62"/>
    <n v="8.1"/>
    <n v="8"/>
  </r>
  <r>
    <x v="221"/>
    <x v="5"/>
    <x v="1"/>
    <x v="3"/>
    <x v="1"/>
    <n v="5"/>
    <n v="4.3"/>
    <n v="5.39"/>
    <n v="8.5"/>
    <n v="7"/>
  </r>
  <r>
    <x v="222"/>
    <x v="7"/>
    <x v="2"/>
    <x v="2"/>
    <x v="1"/>
    <n v="71"/>
    <n v="4.5"/>
    <n v="41.11"/>
    <n v="8.4"/>
    <n v="0"/>
  </r>
  <r>
    <x v="223"/>
    <x v="5"/>
    <x v="0"/>
    <x v="3"/>
    <x v="2"/>
    <n v="152"/>
    <n v="1.8"/>
    <n v="57.05"/>
    <n v="8.6999999999999993"/>
    <n v="10"/>
  </r>
  <r>
    <x v="224"/>
    <x v="5"/>
    <x v="2"/>
    <x v="3"/>
    <x v="1"/>
    <n v="136"/>
    <n v="3.3"/>
    <n v="68.489999999999995"/>
    <n v="9.5"/>
    <n v="4"/>
  </r>
  <r>
    <x v="225"/>
    <x v="5"/>
    <x v="4"/>
    <x v="1"/>
    <x v="2"/>
    <n v="188"/>
    <n v="1.1000000000000001"/>
    <n v="80.44"/>
    <n v="9.5"/>
    <n v="12"/>
  </r>
  <r>
    <x v="226"/>
    <x v="3"/>
    <x v="0"/>
    <x v="3"/>
    <x v="4"/>
    <n v="98"/>
    <n v="2.4"/>
    <n v="53.75"/>
    <n v="7.8"/>
    <n v="6"/>
  </r>
  <r>
    <x v="227"/>
    <x v="0"/>
    <x v="0"/>
    <x v="1"/>
    <x v="3"/>
    <n v="170"/>
    <n v="2.5"/>
    <n v="35.64"/>
    <n v="8.1999999999999993"/>
    <n v="7"/>
  </r>
  <r>
    <x v="228"/>
    <x v="3"/>
    <x v="2"/>
    <x v="2"/>
    <x v="3"/>
    <n v="110"/>
    <n v="17.899999999999999"/>
    <n v="55.26"/>
    <n v="8.5"/>
    <n v="6"/>
  </r>
  <r>
    <x v="229"/>
    <x v="5"/>
    <x v="4"/>
    <x v="1"/>
    <x v="4"/>
    <n v="203"/>
    <n v="3.5"/>
    <n v="116.15"/>
    <n v="8"/>
    <n v="20"/>
  </r>
  <r>
    <x v="230"/>
    <x v="6"/>
    <x v="0"/>
    <x v="3"/>
    <x v="3"/>
    <n v="141"/>
    <n v="3.4"/>
    <n v="21.33"/>
    <n v="5.4"/>
    <n v="8"/>
  </r>
  <r>
    <x v="231"/>
    <x v="3"/>
    <x v="1"/>
    <x v="0"/>
    <x v="0"/>
    <n v="237"/>
    <n v="6.4"/>
    <n v="56.33"/>
    <n v="7"/>
    <n v="10"/>
  </r>
  <r>
    <x v="232"/>
    <x v="4"/>
    <x v="1"/>
    <x v="2"/>
    <x v="1"/>
    <n v="5"/>
    <n v="16.600000000000001"/>
    <n v="1"/>
    <n v="6.6"/>
    <n v="4"/>
  </r>
  <r>
    <x v="233"/>
    <x v="1"/>
    <x v="1"/>
    <x v="1"/>
    <x v="1"/>
    <n v="129"/>
    <n v="4.4000000000000004"/>
    <n v="28.42"/>
    <n v="7.1"/>
    <n v="4"/>
  </r>
  <r>
    <x v="234"/>
    <x v="0"/>
    <x v="3"/>
    <x v="0"/>
    <x v="1"/>
    <n v="125"/>
    <n v="4.5"/>
    <n v="24.65"/>
    <n v="8.5"/>
    <n v="4"/>
  </r>
  <r>
    <x v="235"/>
    <x v="1"/>
    <x v="3"/>
    <x v="2"/>
    <x v="4"/>
    <n v="36"/>
    <n v="13"/>
    <n v="10.77"/>
    <n v="9.6999999999999993"/>
    <n v="0"/>
  </r>
  <r>
    <x v="236"/>
    <x v="7"/>
    <x v="4"/>
    <x v="1"/>
    <x v="0"/>
    <n v="17"/>
    <n v="3"/>
    <n v="11.85"/>
    <n v="10"/>
    <n v="0"/>
  </r>
  <r>
    <x v="237"/>
    <x v="2"/>
    <x v="1"/>
    <x v="3"/>
    <x v="1"/>
    <n v="110"/>
    <n v="2.7"/>
    <n v="45.41"/>
    <n v="7.8"/>
    <n v="6"/>
  </r>
  <r>
    <x v="238"/>
    <x v="3"/>
    <x v="1"/>
    <x v="2"/>
    <x v="2"/>
    <n v="81"/>
    <n v="12.9"/>
    <n v="49.92"/>
    <n v="8.1999999999999993"/>
    <n v="2"/>
  </r>
  <r>
    <x v="239"/>
    <x v="6"/>
    <x v="0"/>
    <x v="2"/>
    <x v="1"/>
    <n v="202"/>
    <n v="18.3"/>
    <n v="33.03"/>
    <n v="7.3"/>
    <n v="12"/>
  </r>
  <r>
    <x v="240"/>
    <x v="4"/>
    <x v="3"/>
    <x v="3"/>
    <x v="4"/>
    <n v="16"/>
    <n v="5.6"/>
    <n v="1"/>
    <n v="8"/>
    <n v="3"/>
  </r>
  <r>
    <x v="241"/>
    <x v="3"/>
    <x v="4"/>
    <x v="0"/>
    <x v="0"/>
    <n v="106"/>
    <n v="7.6"/>
    <n v="60.38"/>
    <n v="8"/>
    <n v="9"/>
  </r>
  <r>
    <x v="242"/>
    <x v="7"/>
    <x v="4"/>
    <x v="1"/>
    <x v="0"/>
    <n v="141"/>
    <n v="3.5"/>
    <n v="23.77"/>
    <n v="7.5"/>
    <n v="4"/>
  </r>
  <r>
    <x v="243"/>
    <x v="6"/>
    <x v="4"/>
    <x v="0"/>
    <x v="2"/>
    <n v="101"/>
    <n v="10.9"/>
    <n v="31.98"/>
    <n v="10"/>
    <n v="12"/>
  </r>
  <r>
    <x v="244"/>
    <x v="4"/>
    <x v="2"/>
    <x v="0"/>
    <x v="3"/>
    <n v="127"/>
    <n v="3.6"/>
    <n v="31.43"/>
    <n v="8.1"/>
    <n v="10"/>
  </r>
  <r>
    <x v="245"/>
    <x v="7"/>
    <x v="2"/>
    <x v="0"/>
    <x v="2"/>
    <n v="127"/>
    <n v="10.6"/>
    <n v="67.31"/>
    <n v="8.1"/>
    <n v="1"/>
  </r>
  <r>
    <x v="246"/>
    <x v="5"/>
    <x v="1"/>
    <x v="3"/>
    <x v="0"/>
    <n v="198"/>
    <n v="2"/>
    <n v="34.159999999999997"/>
    <n v="6.9"/>
    <n v="9"/>
  </r>
  <r>
    <x v="247"/>
    <x v="0"/>
    <x v="0"/>
    <x v="1"/>
    <x v="1"/>
    <n v="137"/>
    <n v="3"/>
    <n v="31.18"/>
    <n v="7.5"/>
    <n v="0"/>
  </r>
  <r>
    <x v="248"/>
    <x v="1"/>
    <x v="0"/>
    <x v="0"/>
    <x v="2"/>
    <n v="212"/>
    <n v="13.7"/>
    <n v="79.97"/>
    <n v="7.5"/>
    <n v="12"/>
  </r>
  <r>
    <x v="249"/>
    <x v="0"/>
    <x v="2"/>
    <x v="0"/>
    <x v="0"/>
    <n v="98"/>
    <n v="1.5"/>
    <n v="21.46"/>
    <n v="8.8000000000000007"/>
    <n v="3"/>
  </r>
  <r>
    <x v="250"/>
    <x v="2"/>
    <x v="2"/>
    <x v="2"/>
    <x v="1"/>
    <n v="163"/>
    <n v="8.8000000000000007"/>
    <n v="84.72"/>
    <n v="7.5"/>
    <n v="4"/>
  </r>
  <r>
    <x v="251"/>
    <x v="7"/>
    <x v="0"/>
    <x v="2"/>
    <x v="2"/>
    <n v="81"/>
    <n v="16.5"/>
    <n v="31.68"/>
    <n v="8.3000000000000007"/>
    <n v="5"/>
  </r>
  <r>
    <x v="252"/>
    <x v="6"/>
    <x v="0"/>
    <x v="0"/>
    <x v="4"/>
    <n v="117"/>
    <n v="7.8"/>
    <n v="48.96"/>
    <n v="8.1"/>
    <n v="7"/>
  </r>
  <r>
    <x v="253"/>
    <x v="2"/>
    <x v="4"/>
    <x v="2"/>
    <x v="0"/>
    <n v="97"/>
    <n v="16.2"/>
    <n v="48.73"/>
    <n v="7"/>
    <n v="4"/>
  </r>
  <r>
    <x v="254"/>
    <x v="2"/>
    <x v="2"/>
    <x v="0"/>
    <x v="4"/>
    <n v="123"/>
    <n v="7.2"/>
    <n v="51.03"/>
    <n v="8"/>
    <n v="10"/>
  </r>
  <r>
    <x v="255"/>
    <x v="6"/>
    <x v="4"/>
    <x v="1"/>
    <x v="0"/>
    <n v="193"/>
    <n v="3.2"/>
    <n v="33.76"/>
    <n v="8"/>
    <n v="10"/>
  </r>
  <r>
    <x v="256"/>
    <x v="3"/>
    <x v="2"/>
    <x v="1"/>
    <x v="2"/>
    <n v="73"/>
    <n v="3.5"/>
    <n v="21.92"/>
    <n v="7.1"/>
    <n v="6"/>
  </r>
  <r>
    <x v="257"/>
    <x v="2"/>
    <x v="4"/>
    <x v="2"/>
    <x v="4"/>
    <n v="53"/>
    <n v="15"/>
    <n v="23.45"/>
    <n v="7.2"/>
    <n v="4"/>
  </r>
  <r>
    <x v="258"/>
    <x v="5"/>
    <x v="1"/>
    <x v="0"/>
    <x v="4"/>
    <n v="164"/>
    <n v="8"/>
    <n v="57.38"/>
    <n v="8.6"/>
    <n v="8"/>
  </r>
  <r>
    <x v="259"/>
    <x v="6"/>
    <x v="3"/>
    <x v="0"/>
    <x v="1"/>
    <n v="141"/>
    <n v="3.2"/>
    <n v="28.41"/>
    <n v="6.7"/>
    <n v="8"/>
  </r>
  <r>
    <x v="260"/>
    <x v="4"/>
    <x v="4"/>
    <x v="1"/>
    <x v="4"/>
    <n v="97"/>
    <n v="3.5"/>
    <n v="30.38"/>
    <n v="7.1"/>
    <n v="7"/>
  </r>
  <r>
    <x v="261"/>
    <x v="4"/>
    <x v="3"/>
    <x v="3"/>
    <x v="4"/>
    <n v="113"/>
    <n v="4.5"/>
    <n v="48.12"/>
    <n v="8.1"/>
    <n v="6"/>
  </r>
  <r>
    <x v="262"/>
    <x v="3"/>
    <x v="4"/>
    <x v="1"/>
    <x v="2"/>
    <n v="51"/>
    <n v="3"/>
    <n v="23"/>
    <n v="7.7"/>
    <n v="10"/>
  </r>
  <r>
    <x v="263"/>
    <x v="6"/>
    <x v="1"/>
    <x v="2"/>
    <x v="3"/>
    <n v="264"/>
    <n v="11.5"/>
    <n v="84.62"/>
    <n v="8.8000000000000007"/>
    <n v="14"/>
  </r>
  <r>
    <x v="264"/>
    <x v="2"/>
    <x v="0"/>
    <x v="1"/>
    <x v="2"/>
    <n v="127"/>
    <n v="2"/>
    <n v="35.869999999999997"/>
    <n v="8.1999999999999993"/>
    <n v="4"/>
  </r>
  <r>
    <x v="265"/>
    <x v="0"/>
    <x v="2"/>
    <x v="3"/>
    <x v="0"/>
    <n v="102"/>
    <n v="5.0999999999999996"/>
    <n v="17.21"/>
    <n v="8.6"/>
    <n v="4"/>
  </r>
  <r>
    <x v="266"/>
    <x v="7"/>
    <x v="2"/>
    <x v="1"/>
    <x v="1"/>
    <n v="139"/>
    <n v="2.2999999999999998"/>
    <n v="33.369999999999997"/>
    <n v="7.3"/>
    <n v="7"/>
  </r>
  <r>
    <x v="267"/>
    <x v="7"/>
    <x v="4"/>
    <x v="1"/>
    <x v="1"/>
    <n v="5"/>
    <n v="2.2999999999999998"/>
    <n v="1"/>
    <n v="7"/>
    <n v="0"/>
  </r>
  <r>
    <x v="268"/>
    <x v="3"/>
    <x v="1"/>
    <x v="0"/>
    <x v="0"/>
    <n v="161"/>
    <n v="10.3"/>
    <n v="80.040000000000006"/>
    <n v="7.9"/>
    <n v="7"/>
  </r>
  <r>
    <x v="269"/>
    <x v="0"/>
    <x v="4"/>
    <x v="0"/>
    <x v="2"/>
    <n v="199"/>
    <n v="2.6"/>
    <n v="25.14"/>
    <n v="7.7"/>
    <n v="11"/>
  </r>
  <r>
    <x v="270"/>
    <x v="1"/>
    <x v="3"/>
    <x v="3"/>
    <x v="2"/>
    <n v="124"/>
    <n v="5.0999999999999996"/>
    <n v="20.87"/>
    <n v="8.6999999999999993"/>
    <n v="9"/>
  </r>
  <r>
    <x v="271"/>
    <x v="1"/>
    <x v="4"/>
    <x v="1"/>
    <x v="3"/>
    <n v="241"/>
    <n v="3.4"/>
    <n v="65.819999999999993"/>
    <n v="8.8000000000000007"/>
    <n v="20"/>
  </r>
  <r>
    <x v="272"/>
    <x v="2"/>
    <x v="4"/>
    <x v="2"/>
    <x v="2"/>
    <n v="212"/>
    <n v="16.3"/>
    <n v="55.44"/>
    <n v="9.4"/>
    <n v="14"/>
  </r>
  <r>
    <x v="273"/>
    <x v="3"/>
    <x v="1"/>
    <x v="3"/>
    <x v="1"/>
    <n v="138"/>
    <n v="5.3"/>
    <n v="57.47"/>
    <n v="7.5"/>
    <n v="2"/>
  </r>
  <r>
    <x v="274"/>
    <x v="1"/>
    <x v="0"/>
    <x v="1"/>
    <x v="0"/>
    <n v="132"/>
    <n v="3.8"/>
    <n v="23.04"/>
    <n v="0.2"/>
    <n v="7"/>
  </r>
  <r>
    <x v="275"/>
    <x v="3"/>
    <x v="0"/>
    <x v="1"/>
    <x v="4"/>
    <n v="199"/>
    <n v="3.8"/>
    <n v="88.89"/>
    <n v="8"/>
    <n v="14"/>
  </r>
  <r>
    <x v="276"/>
    <x v="2"/>
    <x v="2"/>
    <x v="2"/>
    <x v="4"/>
    <n v="139"/>
    <n v="12.2"/>
    <n v="29.6"/>
    <n v="8.6"/>
    <n v="11"/>
  </r>
  <r>
    <x v="277"/>
    <x v="7"/>
    <x v="0"/>
    <x v="3"/>
    <x v="3"/>
    <n v="172"/>
    <n v="3.1"/>
    <n v="42.56"/>
    <n v="8.9"/>
    <n v="15"/>
  </r>
  <r>
    <x v="278"/>
    <x v="3"/>
    <x v="0"/>
    <x v="2"/>
    <x v="2"/>
    <n v="142"/>
    <n v="22.2"/>
    <n v="60.95"/>
    <n v="8.1999999999999993"/>
    <n v="2"/>
  </r>
  <r>
    <x v="279"/>
    <x v="6"/>
    <x v="2"/>
    <x v="1"/>
    <x v="0"/>
    <n v="5"/>
    <n v="2.2000000000000002"/>
    <n v="1"/>
    <n v="7.8"/>
    <n v="3"/>
  </r>
  <r>
    <x v="280"/>
    <x v="3"/>
    <x v="1"/>
    <x v="1"/>
    <x v="3"/>
    <n v="117"/>
    <n v="3.2"/>
    <n v="51.99"/>
    <n v="7.3"/>
    <n v="5"/>
  </r>
  <r>
    <x v="281"/>
    <x v="6"/>
    <x v="3"/>
    <x v="1"/>
    <x v="3"/>
    <n v="162"/>
    <n v="3.3"/>
    <n v="27.72"/>
    <n v="6.9"/>
    <n v="10"/>
  </r>
  <r>
    <x v="282"/>
    <x v="0"/>
    <x v="4"/>
    <x v="1"/>
    <x v="2"/>
    <n v="101"/>
    <n v="4.2"/>
    <n v="19.68"/>
    <n v="7.6"/>
    <n v="2"/>
  </r>
  <r>
    <x v="283"/>
    <x v="6"/>
    <x v="4"/>
    <x v="3"/>
    <x v="0"/>
    <n v="224"/>
    <n v="6.3"/>
    <n v="62.72"/>
    <n v="6.3"/>
    <n v="10"/>
  </r>
  <r>
    <x v="284"/>
    <x v="6"/>
    <x v="3"/>
    <x v="2"/>
    <x v="4"/>
    <n v="123"/>
    <n v="16.7"/>
    <n v="49.1"/>
    <n v="7"/>
    <n v="13"/>
  </r>
  <r>
    <x v="285"/>
    <x v="5"/>
    <x v="0"/>
    <x v="1"/>
    <x v="1"/>
    <n v="104"/>
    <n v="3.7"/>
    <n v="51.14"/>
    <n v="8.9"/>
    <n v="0"/>
  </r>
  <r>
    <x v="286"/>
    <x v="5"/>
    <x v="1"/>
    <x v="3"/>
    <x v="1"/>
    <n v="176"/>
    <n v="2.7"/>
    <n v="39.020000000000003"/>
    <n v="8.1"/>
    <n v="3"/>
  </r>
  <r>
    <x v="287"/>
    <x v="5"/>
    <x v="1"/>
    <x v="3"/>
    <x v="0"/>
    <n v="176"/>
    <n v="2.6"/>
    <n v="61.14"/>
    <n v="6.3"/>
    <n v="7"/>
  </r>
  <r>
    <x v="288"/>
    <x v="4"/>
    <x v="0"/>
    <x v="1"/>
    <x v="2"/>
    <n v="161"/>
    <n v="2.8"/>
    <n v="54.4"/>
    <n v="8.3000000000000007"/>
    <n v="15"/>
  </r>
  <r>
    <x v="289"/>
    <x v="7"/>
    <x v="0"/>
    <x v="2"/>
    <x v="2"/>
    <n v="192"/>
    <n v="8.5"/>
    <n v="86.11"/>
    <n v="5.7"/>
    <n v="15"/>
  </r>
  <r>
    <x v="290"/>
    <x v="2"/>
    <x v="3"/>
    <x v="0"/>
    <x v="2"/>
    <n v="158"/>
    <n v="8.6"/>
    <n v="34.340000000000003"/>
    <n v="7.1"/>
    <n v="11"/>
  </r>
  <r>
    <x v="291"/>
    <x v="6"/>
    <x v="0"/>
    <x v="1"/>
    <x v="2"/>
    <n v="142"/>
    <n v="3"/>
    <n v="65.41"/>
    <n v="7.9"/>
    <n v="0"/>
  </r>
  <r>
    <x v="292"/>
    <x v="7"/>
    <x v="0"/>
    <x v="3"/>
    <x v="0"/>
    <n v="56"/>
    <n v="6.1"/>
    <n v="17.850000000000001"/>
    <n v="7.6"/>
    <n v="7"/>
  </r>
  <r>
    <x v="293"/>
    <x v="2"/>
    <x v="1"/>
    <x v="2"/>
    <x v="4"/>
    <n v="160"/>
    <n v="10.6"/>
    <n v="53.97"/>
    <n v="8.6999999999999993"/>
    <n v="13"/>
  </r>
  <r>
    <x v="294"/>
    <x v="1"/>
    <x v="1"/>
    <x v="1"/>
    <x v="1"/>
    <n v="184"/>
    <n v="3.3"/>
    <n v="82.01"/>
    <n v="9.8000000000000007"/>
    <n v="10"/>
  </r>
  <r>
    <x v="295"/>
    <x v="4"/>
    <x v="1"/>
    <x v="2"/>
    <x v="4"/>
    <n v="117"/>
    <n v="10.6"/>
    <n v="17.899999999999999"/>
    <n v="6.9"/>
    <n v="0"/>
  </r>
  <r>
    <x v="296"/>
    <x v="6"/>
    <x v="2"/>
    <x v="0"/>
    <x v="4"/>
    <n v="105"/>
    <n v="3.9"/>
    <n v="44.36"/>
    <n v="9.5"/>
    <n v="5"/>
  </r>
  <r>
    <x v="297"/>
    <x v="4"/>
    <x v="0"/>
    <x v="0"/>
    <x v="1"/>
    <n v="173"/>
    <n v="12.8"/>
    <n v="57.84"/>
    <n v="8.1999999999999993"/>
    <n v="14"/>
  </r>
  <r>
    <x v="298"/>
    <x v="3"/>
    <x v="3"/>
    <x v="3"/>
    <x v="2"/>
    <n v="96"/>
    <n v="2.7"/>
    <n v="19.190000000000001"/>
    <n v="8.3000000000000007"/>
    <n v="7"/>
  </r>
  <r>
    <x v="299"/>
    <x v="2"/>
    <x v="3"/>
    <x v="3"/>
    <x v="3"/>
    <n v="81"/>
    <n v="1.3"/>
    <n v="26.91"/>
    <n v="8"/>
    <n v="9"/>
  </r>
  <r>
    <x v="300"/>
    <x v="4"/>
    <x v="2"/>
    <x v="1"/>
    <x v="2"/>
    <n v="149"/>
    <n v="3"/>
    <n v="76.959999999999994"/>
    <n v="7.4"/>
    <n v="10"/>
  </r>
  <r>
    <x v="301"/>
    <x v="1"/>
    <x v="2"/>
    <x v="1"/>
    <x v="0"/>
    <n v="72"/>
    <n v="3.5"/>
    <n v="19.11"/>
    <n v="7.7"/>
    <n v="3"/>
  </r>
  <r>
    <x v="302"/>
    <x v="1"/>
    <x v="2"/>
    <x v="0"/>
    <x v="3"/>
    <n v="154"/>
    <n v="8.5"/>
    <n v="62.11"/>
    <n v="7.5"/>
    <n v="9"/>
  </r>
  <r>
    <x v="303"/>
    <x v="5"/>
    <x v="0"/>
    <x v="1"/>
    <x v="2"/>
    <n v="261"/>
    <n v="2.8"/>
    <n v="76.819999999999993"/>
    <n v="9.1"/>
    <n v="17"/>
  </r>
  <r>
    <x v="304"/>
    <x v="6"/>
    <x v="3"/>
    <x v="2"/>
    <x v="3"/>
    <n v="162"/>
    <n v="15.3"/>
    <n v="28.42"/>
    <n v="9.4"/>
    <n v="9"/>
  </r>
  <r>
    <x v="305"/>
    <x v="3"/>
    <x v="0"/>
    <x v="2"/>
    <x v="2"/>
    <n v="63"/>
    <n v="8.6"/>
    <n v="31.16"/>
    <n v="8.3000000000000007"/>
    <n v="0"/>
  </r>
  <r>
    <x v="306"/>
    <x v="0"/>
    <x v="2"/>
    <x v="3"/>
    <x v="0"/>
    <n v="156"/>
    <n v="6.4"/>
    <n v="70.510000000000005"/>
    <n v="9"/>
    <n v="0"/>
  </r>
  <r>
    <x v="307"/>
    <x v="7"/>
    <x v="0"/>
    <x v="3"/>
    <x v="0"/>
    <n v="135"/>
    <n v="6.5"/>
    <n v="21.02"/>
    <n v="10"/>
    <n v="6"/>
  </r>
  <r>
    <x v="308"/>
    <x v="6"/>
    <x v="2"/>
    <x v="0"/>
    <x v="1"/>
    <n v="213"/>
    <n v="7.9"/>
    <n v="32.64"/>
    <n v="8"/>
    <n v="15"/>
  </r>
  <r>
    <x v="309"/>
    <x v="7"/>
    <x v="0"/>
    <x v="3"/>
    <x v="3"/>
    <n v="317"/>
    <n v="3.9"/>
    <n v="89.69"/>
    <n v="9.6999999999999993"/>
    <n v="19"/>
  </r>
  <r>
    <x v="310"/>
    <x v="4"/>
    <x v="4"/>
    <x v="2"/>
    <x v="3"/>
    <n v="174"/>
    <n v="17.2"/>
    <n v="69.91"/>
    <n v="7.1"/>
    <n v="7"/>
  </r>
  <r>
    <x v="311"/>
    <x v="6"/>
    <x v="3"/>
    <x v="1"/>
    <x v="2"/>
    <n v="65"/>
    <n v="0.8"/>
    <n v="16.91"/>
    <n v="7.5"/>
    <n v="1"/>
  </r>
  <r>
    <x v="312"/>
    <x v="5"/>
    <x v="1"/>
    <x v="2"/>
    <x v="1"/>
    <n v="209"/>
    <n v="14.1"/>
    <n v="99.66"/>
    <n v="7"/>
    <n v="15"/>
  </r>
  <r>
    <x v="313"/>
    <x v="6"/>
    <x v="0"/>
    <x v="3"/>
    <x v="1"/>
    <n v="64"/>
    <n v="6"/>
    <n v="26.16"/>
    <n v="7.7"/>
    <n v="2"/>
  </r>
  <r>
    <x v="314"/>
    <x v="2"/>
    <x v="3"/>
    <x v="0"/>
    <x v="0"/>
    <n v="189"/>
    <n v="7.1"/>
    <n v="97.58"/>
    <n v="8.5"/>
    <n v="13"/>
  </r>
  <r>
    <x v="315"/>
    <x v="1"/>
    <x v="3"/>
    <x v="1"/>
    <x v="2"/>
    <n v="74"/>
    <n v="2.9"/>
    <n v="1"/>
    <n v="10"/>
    <n v="2"/>
  </r>
  <r>
    <x v="316"/>
    <x v="2"/>
    <x v="2"/>
    <x v="2"/>
    <x v="2"/>
    <n v="46"/>
    <n v="14.8"/>
    <n v="27.84"/>
    <n v="8.1999999999999993"/>
    <n v="0"/>
  </r>
  <r>
    <x v="317"/>
    <x v="5"/>
    <x v="4"/>
    <x v="3"/>
    <x v="1"/>
    <n v="195"/>
    <n v="2.4"/>
    <n v="95.83"/>
    <n v="7"/>
    <n v="12"/>
  </r>
  <r>
    <x v="318"/>
    <x v="7"/>
    <x v="1"/>
    <x v="3"/>
    <x v="1"/>
    <n v="126"/>
    <n v="0.2"/>
    <n v="29.03"/>
    <n v="7.2"/>
    <n v="14"/>
  </r>
  <r>
    <x v="319"/>
    <x v="3"/>
    <x v="2"/>
    <x v="2"/>
    <x v="3"/>
    <n v="193"/>
    <n v="10.6"/>
    <n v="44.08"/>
    <n v="9.5"/>
    <n v="13"/>
  </r>
  <r>
    <x v="320"/>
    <x v="3"/>
    <x v="1"/>
    <x v="0"/>
    <x v="2"/>
    <n v="181"/>
    <n v="1.6"/>
    <n v="45.78"/>
    <n v="8.8000000000000007"/>
    <n v="9"/>
  </r>
  <r>
    <x v="321"/>
    <x v="2"/>
    <x v="3"/>
    <x v="3"/>
    <x v="2"/>
    <n v="106"/>
    <n v="5.4"/>
    <n v="39.96"/>
    <n v="7.5"/>
    <n v="5"/>
  </r>
  <r>
    <x v="322"/>
    <x v="6"/>
    <x v="1"/>
    <x v="3"/>
    <x v="1"/>
    <n v="33"/>
    <n v="4.3"/>
    <n v="13.7"/>
    <n v="8"/>
    <n v="0"/>
  </r>
  <r>
    <x v="323"/>
    <x v="5"/>
    <x v="2"/>
    <x v="3"/>
    <x v="3"/>
    <n v="51"/>
    <n v="2.7"/>
    <n v="21.44"/>
    <n v="7.8"/>
    <n v="1"/>
  </r>
  <r>
    <x v="324"/>
    <x v="1"/>
    <x v="0"/>
    <x v="0"/>
    <x v="2"/>
    <n v="141"/>
    <n v="2.8"/>
    <n v="80.569999999999993"/>
    <n v="8.6999999999999993"/>
    <n v="9"/>
  </r>
  <r>
    <x v="325"/>
    <x v="1"/>
    <x v="0"/>
    <x v="1"/>
    <x v="2"/>
    <n v="220"/>
    <n v="2.8"/>
    <n v="49.53"/>
    <n v="9.1999999999999993"/>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93639-6FF4-2342-B4A2-B59DCF029F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0:E117" firstHeaderRow="1" firstDataRow="1" firstDataCol="0"/>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A9D6B3-DA2B-B14A-BAE1-955B03FBA4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6" firstHeaderRow="0" firstDataRow="1" firstDataCol="1"/>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showAll="0">
      <items count="9">
        <item x="6"/>
        <item x="7"/>
        <item x="1"/>
        <item x="0"/>
        <item x="4"/>
        <item x="2"/>
        <item x="3"/>
        <item x="5"/>
        <item t="default"/>
      </items>
    </pivotField>
    <pivotField axis="axisRow" showAll="0">
      <items count="6">
        <item x="2"/>
        <item x="3"/>
        <item x="4"/>
        <item x="1"/>
        <item x="0"/>
        <item t="default"/>
      </items>
    </pivotField>
    <pivotField showAll="0"/>
    <pivotField showAll="0">
      <items count="6">
        <item x="0"/>
        <item x="3"/>
        <item x="1"/>
        <item x="4"/>
        <item x="2"/>
        <item t="default"/>
      </items>
    </pivotField>
    <pivotField dataField="1" showAll="0"/>
    <pivotField showAll="0"/>
    <pivotField dataField="1"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Units Sold" fld="5" baseField="0" baseItem="0"/>
    <dataField name="Sum of Operating Cost INR Lakh"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FCB76-0A92-B747-BF1C-9565C8B73E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axis="axisRow" showAll="0">
      <items count="9">
        <item x="6"/>
        <item x="7"/>
        <item x="1"/>
        <item x="0"/>
        <item x="4"/>
        <item x="2"/>
        <item x="3"/>
        <item x="5"/>
        <item t="default"/>
      </items>
    </pivotField>
    <pivotField showAll="0">
      <items count="6">
        <item x="2"/>
        <item x="3"/>
        <item x="4"/>
        <item x="1"/>
        <item x="0"/>
        <item t="default"/>
      </items>
    </pivotField>
    <pivotField showAll="0"/>
    <pivotField showAll="0">
      <items count="6">
        <item x="0"/>
        <item x="3"/>
        <item x="1"/>
        <item x="4"/>
        <item x="2"/>
        <item t="default"/>
      </items>
    </pivotField>
    <pivotField showAll="0"/>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Average of Avg Checkout Time Minutes" fld="6" subtotal="average" baseField="0" baseItem="0" numFmtId="2"/>
  </dataFields>
  <formats count="2">
    <format dxfId="5">
      <pivotArea dataOnly="0" labelOnly="1" outline="0" axis="axisValues" fieldPosition="0"/>
    </format>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2134B7-F28F-FE48-A2D6-0C82C9B2DB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G29" firstHeaderRow="1" firstDataRow="2" firstDataCol="1"/>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axis="axisRow" showAll="0">
      <items count="9">
        <item x="6"/>
        <item x="7"/>
        <item x="1"/>
        <item x="0"/>
        <item x="4"/>
        <item x="2"/>
        <item x="3"/>
        <item x="5"/>
        <item t="default"/>
      </items>
    </pivotField>
    <pivotField showAll="0">
      <items count="6">
        <item x="2"/>
        <item x="3"/>
        <item x="4"/>
        <item x="1"/>
        <item x="0"/>
        <item t="default"/>
      </items>
    </pivotField>
    <pivotField showAll="0"/>
    <pivotField axis="axisCol" showAll="0">
      <items count="6">
        <item x="0"/>
        <item x="3"/>
        <item x="1"/>
        <item x="4"/>
        <item x="2"/>
        <item t="default"/>
      </items>
    </pivotField>
    <pivotField dataField="1" showAll="0"/>
    <pivotField showAll="0"/>
    <pivotField showAll="0"/>
    <pivotField showAll="0"/>
    <pivotField showAll="0"/>
  </pivotFields>
  <rowFields count="1">
    <field x="1"/>
  </rowFields>
  <rowItems count="9">
    <i>
      <x/>
    </i>
    <i>
      <x v="1"/>
    </i>
    <i>
      <x v="2"/>
    </i>
    <i>
      <x v="3"/>
    </i>
    <i>
      <x v="4"/>
    </i>
    <i>
      <x v="5"/>
    </i>
    <i>
      <x v="6"/>
    </i>
    <i>
      <x v="7"/>
    </i>
    <i t="grand">
      <x/>
    </i>
  </rowItems>
  <colFields count="1">
    <field x="4"/>
  </colFields>
  <colItems count="6">
    <i>
      <x/>
    </i>
    <i>
      <x v="1"/>
    </i>
    <i>
      <x v="2"/>
    </i>
    <i>
      <x v="3"/>
    </i>
    <i>
      <x v="4"/>
    </i>
    <i t="grand">
      <x/>
    </i>
  </colItems>
  <dataFields count="1">
    <dataField name="Sum of Units Sold" fld="5" baseField="0" baseItem="0"/>
  </dataFields>
  <chartFormats count="5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3">
          <reference field="4294967294" count="1" selected="0">
            <x v="0"/>
          </reference>
          <reference field="1" count="1" selected="0">
            <x v="5"/>
          </reference>
          <reference field="4" count="1" selected="0">
            <x v="0"/>
          </reference>
        </references>
      </pivotArea>
    </chartFormat>
    <chartFormat chart="0" format="6" series="1">
      <pivotArea type="data" outline="0" fieldPosition="0">
        <references count="3">
          <reference field="4294967294" count="1" selected="0">
            <x v="0"/>
          </reference>
          <reference field="1" count="1" selected="0">
            <x v="6"/>
          </reference>
          <reference field="4" count="1" selected="0">
            <x v="0"/>
          </reference>
        </references>
      </pivotArea>
    </chartFormat>
    <chartFormat chart="0" format="7" series="1">
      <pivotArea type="data" outline="0" fieldPosition="0">
        <references count="3">
          <reference field="4294967294" count="1" selected="0">
            <x v="0"/>
          </reference>
          <reference field="1" count="1" selected="0">
            <x v="7"/>
          </reference>
          <reference field="4" count="1" selected="0">
            <x v="0"/>
          </reference>
        </references>
      </pivotArea>
    </chartFormat>
    <chartFormat chart="0" format="8" series="1">
      <pivotArea type="data" outline="0" fieldPosition="0">
        <references count="3">
          <reference field="4294967294" count="1" selected="0">
            <x v="0"/>
          </reference>
          <reference field="1" count="1" selected="0">
            <x v="0"/>
          </reference>
          <reference field="4" count="1" selected="0">
            <x v="1"/>
          </reference>
        </references>
      </pivotArea>
    </chartFormat>
    <chartFormat chart="0" format="9" series="1">
      <pivotArea type="data" outline="0" fieldPosition="0">
        <references count="3">
          <reference field="4294967294" count="1" selected="0">
            <x v="0"/>
          </reference>
          <reference field="1" count="1" selected="0">
            <x v="1"/>
          </reference>
          <reference field="4" count="1" selected="0">
            <x v="1"/>
          </reference>
        </references>
      </pivotArea>
    </chartFormat>
    <chartFormat chart="0" format="10" series="1">
      <pivotArea type="data" outline="0" fieldPosition="0">
        <references count="3">
          <reference field="4294967294" count="1" selected="0">
            <x v="0"/>
          </reference>
          <reference field="1" count="1" selected="0">
            <x v="2"/>
          </reference>
          <reference field="4" count="1" selected="0">
            <x v="1"/>
          </reference>
        </references>
      </pivotArea>
    </chartFormat>
    <chartFormat chart="0" format="11" series="1">
      <pivotArea type="data" outline="0" fieldPosition="0">
        <references count="3">
          <reference field="4294967294" count="1" selected="0">
            <x v="0"/>
          </reference>
          <reference field="1" count="1" selected="0">
            <x v="3"/>
          </reference>
          <reference field="4" count="1" selected="0">
            <x v="1"/>
          </reference>
        </references>
      </pivotArea>
    </chartFormat>
    <chartFormat chart="0" format="12" series="1">
      <pivotArea type="data" outline="0" fieldPosition="0">
        <references count="3">
          <reference field="4294967294" count="1" selected="0">
            <x v="0"/>
          </reference>
          <reference field="1" count="1" selected="0">
            <x v="4"/>
          </reference>
          <reference field="4" count="1" selected="0">
            <x v="1"/>
          </reference>
        </references>
      </pivotArea>
    </chartFormat>
    <chartFormat chart="0" format="13" series="1">
      <pivotArea type="data" outline="0" fieldPosition="0">
        <references count="3">
          <reference field="4294967294" count="1" selected="0">
            <x v="0"/>
          </reference>
          <reference field="1" count="1" selected="0">
            <x v="5"/>
          </reference>
          <reference field="4" count="1" selected="0">
            <x v="1"/>
          </reference>
        </references>
      </pivotArea>
    </chartFormat>
    <chartFormat chart="0" format="14" series="1">
      <pivotArea type="data" outline="0" fieldPosition="0">
        <references count="3">
          <reference field="4294967294" count="1" selected="0">
            <x v="0"/>
          </reference>
          <reference field="1" count="1" selected="0">
            <x v="6"/>
          </reference>
          <reference field="4" count="1" selected="0">
            <x v="1"/>
          </reference>
        </references>
      </pivotArea>
    </chartFormat>
    <chartFormat chart="0" format="15" series="1">
      <pivotArea type="data" outline="0" fieldPosition="0">
        <references count="3">
          <reference field="4294967294" count="1" selected="0">
            <x v="0"/>
          </reference>
          <reference field="1" count="1" selected="0">
            <x v="7"/>
          </reference>
          <reference field="4" count="1" selected="0">
            <x v="1"/>
          </reference>
        </references>
      </pivotArea>
    </chartFormat>
    <chartFormat chart="0" format="16" series="1">
      <pivotArea type="data" outline="0" fieldPosition="0">
        <references count="3">
          <reference field="4294967294" count="1" selected="0">
            <x v="0"/>
          </reference>
          <reference field="1" count="1" selected="0">
            <x v="0"/>
          </reference>
          <reference field="4" count="1" selected="0">
            <x v="2"/>
          </reference>
        </references>
      </pivotArea>
    </chartFormat>
    <chartFormat chart="0" format="17" series="1">
      <pivotArea type="data" outline="0" fieldPosition="0">
        <references count="3">
          <reference field="4294967294" count="1" selected="0">
            <x v="0"/>
          </reference>
          <reference field="1" count="1" selected="0">
            <x v="1"/>
          </reference>
          <reference field="4" count="1" selected="0">
            <x v="2"/>
          </reference>
        </references>
      </pivotArea>
    </chartFormat>
    <chartFormat chart="0" format="18" series="1">
      <pivotArea type="data" outline="0" fieldPosition="0">
        <references count="3">
          <reference field="4294967294" count="1" selected="0">
            <x v="0"/>
          </reference>
          <reference field="1" count="1" selected="0">
            <x v="2"/>
          </reference>
          <reference field="4" count="1" selected="0">
            <x v="2"/>
          </reference>
        </references>
      </pivotArea>
    </chartFormat>
    <chartFormat chart="0" format="19" series="1">
      <pivotArea type="data" outline="0" fieldPosition="0">
        <references count="3">
          <reference field="4294967294" count="1" selected="0">
            <x v="0"/>
          </reference>
          <reference field="1" count="1" selected="0">
            <x v="3"/>
          </reference>
          <reference field="4" count="1" selected="0">
            <x v="2"/>
          </reference>
        </references>
      </pivotArea>
    </chartFormat>
    <chartFormat chart="0" format="20" series="1">
      <pivotArea type="data" outline="0" fieldPosition="0">
        <references count="3">
          <reference field="4294967294" count="1" selected="0">
            <x v="0"/>
          </reference>
          <reference field="1" count="1" selected="0">
            <x v="4"/>
          </reference>
          <reference field="4" count="1" selected="0">
            <x v="2"/>
          </reference>
        </references>
      </pivotArea>
    </chartFormat>
    <chartFormat chart="0" format="21" series="1">
      <pivotArea type="data" outline="0" fieldPosition="0">
        <references count="3">
          <reference field="4294967294" count="1" selected="0">
            <x v="0"/>
          </reference>
          <reference field="1" count="1" selected="0">
            <x v="5"/>
          </reference>
          <reference field="4" count="1" selected="0">
            <x v="2"/>
          </reference>
        </references>
      </pivotArea>
    </chartFormat>
    <chartFormat chart="0" format="22" series="1">
      <pivotArea type="data" outline="0" fieldPosition="0">
        <references count="3">
          <reference field="4294967294" count="1" selected="0">
            <x v="0"/>
          </reference>
          <reference field="1" count="1" selected="0">
            <x v="6"/>
          </reference>
          <reference field="4" count="1" selected="0">
            <x v="2"/>
          </reference>
        </references>
      </pivotArea>
    </chartFormat>
    <chartFormat chart="0" format="23" series="1">
      <pivotArea type="data" outline="0" fieldPosition="0">
        <references count="3">
          <reference field="4294967294" count="1" selected="0">
            <x v="0"/>
          </reference>
          <reference field="1" count="1" selected="0">
            <x v="7"/>
          </reference>
          <reference field="4" count="1" selected="0">
            <x v="2"/>
          </reference>
        </references>
      </pivotArea>
    </chartFormat>
    <chartFormat chart="0" format="24" series="1">
      <pivotArea type="data" outline="0" fieldPosition="0">
        <references count="3">
          <reference field="4294967294" count="1" selected="0">
            <x v="0"/>
          </reference>
          <reference field="1" count="1" selected="0">
            <x v="0"/>
          </reference>
          <reference field="4" count="1" selected="0">
            <x v="3"/>
          </reference>
        </references>
      </pivotArea>
    </chartFormat>
    <chartFormat chart="0" format="25" series="1">
      <pivotArea type="data" outline="0" fieldPosition="0">
        <references count="3">
          <reference field="4294967294" count="1" selected="0">
            <x v="0"/>
          </reference>
          <reference field="1" count="1" selected="0">
            <x v="1"/>
          </reference>
          <reference field="4" count="1" selected="0">
            <x v="3"/>
          </reference>
        </references>
      </pivotArea>
    </chartFormat>
    <chartFormat chart="0" format="26" series="1">
      <pivotArea type="data" outline="0" fieldPosition="0">
        <references count="3">
          <reference field="4294967294" count="1" selected="0">
            <x v="0"/>
          </reference>
          <reference field="1" count="1" selected="0">
            <x v="2"/>
          </reference>
          <reference field="4" count="1" selected="0">
            <x v="3"/>
          </reference>
        </references>
      </pivotArea>
    </chartFormat>
    <chartFormat chart="0" format="27" series="1">
      <pivotArea type="data" outline="0" fieldPosition="0">
        <references count="3">
          <reference field="4294967294" count="1" selected="0">
            <x v="0"/>
          </reference>
          <reference field="1" count="1" selected="0">
            <x v="3"/>
          </reference>
          <reference field="4" count="1" selected="0">
            <x v="3"/>
          </reference>
        </references>
      </pivotArea>
    </chartFormat>
    <chartFormat chart="0" format="28" series="1">
      <pivotArea type="data" outline="0" fieldPosition="0">
        <references count="3">
          <reference field="4294967294" count="1" selected="0">
            <x v="0"/>
          </reference>
          <reference field="1" count="1" selected="0">
            <x v="4"/>
          </reference>
          <reference field="4" count="1" selected="0">
            <x v="3"/>
          </reference>
        </references>
      </pivotArea>
    </chartFormat>
    <chartFormat chart="0" format="29" series="1">
      <pivotArea type="data" outline="0" fieldPosition="0">
        <references count="3">
          <reference field="4294967294" count="1" selected="0">
            <x v="0"/>
          </reference>
          <reference field="1" count="1" selected="0">
            <x v="5"/>
          </reference>
          <reference field="4" count="1" selected="0">
            <x v="3"/>
          </reference>
        </references>
      </pivotArea>
    </chartFormat>
    <chartFormat chart="0" format="30" series="1">
      <pivotArea type="data" outline="0" fieldPosition="0">
        <references count="3">
          <reference field="4294967294" count="1" selected="0">
            <x v="0"/>
          </reference>
          <reference field="1" count="1" selected="0">
            <x v="6"/>
          </reference>
          <reference field="4" count="1" selected="0">
            <x v="3"/>
          </reference>
        </references>
      </pivotArea>
    </chartFormat>
    <chartFormat chart="0" format="31" series="1">
      <pivotArea type="data" outline="0" fieldPosition="0">
        <references count="3">
          <reference field="4294967294" count="1" selected="0">
            <x v="0"/>
          </reference>
          <reference field="1" count="1" selected="0">
            <x v="7"/>
          </reference>
          <reference field="4" count="1" selected="0">
            <x v="3"/>
          </reference>
        </references>
      </pivotArea>
    </chartFormat>
    <chartFormat chart="0" format="32" series="1">
      <pivotArea type="data" outline="0" fieldPosition="0">
        <references count="3">
          <reference field="4294967294" count="1" selected="0">
            <x v="0"/>
          </reference>
          <reference field="1" count="1" selected="0">
            <x v="0"/>
          </reference>
          <reference field="4" count="1" selected="0">
            <x v="4"/>
          </reference>
        </references>
      </pivotArea>
    </chartFormat>
    <chartFormat chart="0" format="33" series="1">
      <pivotArea type="data" outline="0" fieldPosition="0">
        <references count="3">
          <reference field="4294967294" count="1" selected="0">
            <x v="0"/>
          </reference>
          <reference field="1" count="1" selected="0">
            <x v="1"/>
          </reference>
          <reference field="4" count="1" selected="0">
            <x v="4"/>
          </reference>
        </references>
      </pivotArea>
    </chartFormat>
    <chartFormat chart="0" format="34" series="1">
      <pivotArea type="data" outline="0" fieldPosition="0">
        <references count="3">
          <reference field="4294967294" count="1" selected="0">
            <x v="0"/>
          </reference>
          <reference field="1" count="1" selected="0">
            <x v="2"/>
          </reference>
          <reference field="4" count="1" selected="0">
            <x v="4"/>
          </reference>
        </references>
      </pivotArea>
    </chartFormat>
    <chartFormat chart="0" format="35" series="1">
      <pivotArea type="data" outline="0" fieldPosition="0">
        <references count="3">
          <reference field="4294967294" count="1" selected="0">
            <x v="0"/>
          </reference>
          <reference field="1" count="1" selected="0">
            <x v="3"/>
          </reference>
          <reference field="4" count="1" selected="0">
            <x v="4"/>
          </reference>
        </references>
      </pivotArea>
    </chartFormat>
    <chartFormat chart="0" format="36" series="1">
      <pivotArea type="data" outline="0" fieldPosition="0">
        <references count="3">
          <reference field="4294967294" count="1" selected="0">
            <x v="0"/>
          </reference>
          <reference field="1" count="1" selected="0">
            <x v="4"/>
          </reference>
          <reference field="4" count="1" selected="0">
            <x v="4"/>
          </reference>
        </references>
      </pivotArea>
    </chartFormat>
    <chartFormat chart="0" format="37" series="1">
      <pivotArea type="data" outline="0" fieldPosition="0">
        <references count="3">
          <reference field="4294967294" count="1" selected="0">
            <x v="0"/>
          </reference>
          <reference field="1" count="1" selected="0">
            <x v="5"/>
          </reference>
          <reference field="4" count="1" selected="0">
            <x v="4"/>
          </reference>
        </references>
      </pivotArea>
    </chartFormat>
    <chartFormat chart="0" format="38" series="1">
      <pivotArea type="data" outline="0" fieldPosition="0">
        <references count="3">
          <reference field="4294967294" count="1" selected="0">
            <x v="0"/>
          </reference>
          <reference field="1" count="1" selected="0">
            <x v="6"/>
          </reference>
          <reference field="4" count="1" selected="0">
            <x v="4"/>
          </reference>
        </references>
      </pivotArea>
    </chartFormat>
    <chartFormat chart="0" format="39" series="1">
      <pivotArea type="data" outline="0" fieldPosition="0">
        <references count="3">
          <reference field="4294967294" count="1" selected="0">
            <x v="0"/>
          </reference>
          <reference field="1" count="1" selected="0">
            <x v="7"/>
          </reference>
          <reference field="4" count="1" selected="0">
            <x v="4"/>
          </reference>
        </references>
      </pivotArea>
    </chartFormat>
    <chartFormat chart="0" format="40" series="1">
      <pivotArea type="data" outline="0" fieldPosition="0">
        <references count="2">
          <reference field="4294967294" count="1" selected="0">
            <x v="0"/>
          </reference>
          <reference field="1" count="1" selected="0">
            <x v="0"/>
          </reference>
        </references>
      </pivotArea>
    </chartFormat>
    <chartFormat chart="0" format="41" series="1">
      <pivotArea type="data" outline="0" fieldPosition="0">
        <references count="2">
          <reference field="4294967294" count="1" selected="0">
            <x v="0"/>
          </reference>
          <reference field="1" count="1" selected="0">
            <x v="1"/>
          </reference>
        </references>
      </pivotArea>
    </chartFormat>
    <chartFormat chart="0" format="42" series="1">
      <pivotArea type="data" outline="0" fieldPosition="0">
        <references count="2">
          <reference field="4294967294" count="1" selected="0">
            <x v="0"/>
          </reference>
          <reference field="1" count="1" selected="0">
            <x v="2"/>
          </reference>
        </references>
      </pivotArea>
    </chartFormat>
    <chartFormat chart="0" format="43" series="1">
      <pivotArea type="data" outline="0" fieldPosition="0">
        <references count="2">
          <reference field="4294967294" count="1" selected="0">
            <x v="0"/>
          </reference>
          <reference field="1" count="1" selected="0">
            <x v="3"/>
          </reference>
        </references>
      </pivotArea>
    </chartFormat>
    <chartFormat chart="0" format="44" series="1">
      <pivotArea type="data" outline="0" fieldPosition="0">
        <references count="2">
          <reference field="4294967294" count="1" selected="0">
            <x v="0"/>
          </reference>
          <reference field="1" count="1" selected="0">
            <x v="4"/>
          </reference>
        </references>
      </pivotArea>
    </chartFormat>
    <chartFormat chart="0" format="45" series="1">
      <pivotArea type="data" outline="0" fieldPosition="0">
        <references count="2">
          <reference field="4294967294" count="1" selected="0">
            <x v="0"/>
          </reference>
          <reference field="1" count="1" selected="0">
            <x v="5"/>
          </reference>
        </references>
      </pivotArea>
    </chartFormat>
    <chartFormat chart="0" format="46" series="1">
      <pivotArea type="data" outline="0" fieldPosition="0">
        <references count="2">
          <reference field="4294967294" count="1" selected="0">
            <x v="0"/>
          </reference>
          <reference field="1" count="1" selected="0">
            <x v="6"/>
          </reference>
        </references>
      </pivotArea>
    </chartFormat>
    <chartFormat chart="0" format="47" series="1">
      <pivotArea type="data" outline="0" fieldPosition="0">
        <references count="2">
          <reference field="4294967294" count="1" selected="0">
            <x v="0"/>
          </reference>
          <reference field="1" count="1" selected="0">
            <x v="7"/>
          </reference>
        </references>
      </pivotArea>
    </chartFormat>
    <chartFormat chart="0" format="48" series="1">
      <pivotArea type="data" outline="0" fieldPosition="0">
        <references count="1">
          <reference field="4294967294" count="1" selected="0">
            <x v="0"/>
          </reference>
        </references>
      </pivotArea>
    </chartFormat>
    <chartFormat chart="4" format="54" series="1">
      <pivotArea type="data" outline="0" fieldPosition="0">
        <references count="2">
          <reference field="4294967294" count="1" selected="0">
            <x v="0"/>
          </reference>
          <reference field="4" count="1" selected="0">
            <x v="0"/>
          </reference>
        </references>
      </pivotArea>
    </chartFormat>
    <chartFormat chart="4" format="55" series="1">
      <pivotArea type="data" outline="0" fieldPosition="0">
        <references count="2">
          <reference field="4294967294" count="1" selected="0">
            <x v="0"/>
          </reference>
          <reference field="4" count="1" selected="0">
            <x v="1"/>
          </reference>
        </references>
      </pivotArea>
    </chartFormat>
    <chartFormat chart="4" format="56" series="1">
      <pivotArea type="data" outline="0" fieldPosition="0">
        <references count="2">
          <reference field="4294967294" count="1" selected="0">
            <x v="0"/>
          </reference>
          <reference field="4" count="1" selected="0">
            <x v="2"/>
          </reference>
        </references>
      </pivotArea>
    </chartFormat>
    <chartFormat chart="4" format="57" series="1">
      <pivotArea type="data" outline="0" fieldPosition="0">
        <references count="2">
          <reference field="4294967294" count="1" selected="0">
            <x v="0"/>
          </reference>
          <reference field="4" count="1" selected="0">
            <x v="3"/>
          </reference>
        </references>
      </pivotArea>
    </chartFormat>
    <chartFormat chart="4" format="58" series="1">
      <pivotArea type="data" outline="0" fieldPosition="0">
        <references count="2">
          <reference field="4294967294" count="1" selected="0">
            <x v="0"/>
          </reference>
          <reference field="4" count="1" selected="0">
            <x v="4"/>
          </reference>
        </references>
      </pivotArea>
    </chartFormat>
    <chartFormat chart="4" format="5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469379-3DD7-7C4D-8C68-CA87252CEE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F90" firstHeaderRow="1" firstDataRow="2" firstDataCol="1"/>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showAll="0">
      <items count="9">
        <item x="6"/>
        <item x="7"/>
        <item x="1"/>
        <item x="0"/>
        <item x="4"/>
        <item x="2"/>
        <item x="3"/>
        <item x="5"/>
        <item t="default"/>
      </items>
    </pivotField>
    <pivotField axis="axisRow" showAll="0">
      <items count="6">
        <item x="2"/>
        <item x="3"/>
        <item x="4"/>
        <item x="1"/>
        <item x="0"/>
        <item t="default"/>
      </items>
    </pivotField>
    <pivotField axis="axisCol" showAll="0">
      <items count="5">
        <item x="3"/>
        <item x="2"/>
        <item x="0"/>
        <item x="1"/>
        <item t="default"/>
      </items>
    </pivotField>
    <pivotField showAll="0">
      <items count="6">
        <item x="0"/>
        <item x="3"/>
        <item x="1"/>
        <item x="4"/>
        <item x="2"/>
        <item t="default"/>
      </items>
    </pivotField>
    <pivotField showAll="0"/>
    <pivotField showAll="0"/>
    <pivotField showAll="0"/>
    <pivotField dataField="1" showAll="0"/>
    <pivotField showAll="0"/>
  </pivotFields>
  <rowFields count="1">
    <field x="2"/>
  </rowFields>
  <rowItems count="6">
    <i>
      <x/>
    </i>
    <i>
      <x v="1"/>
    </i>
    <i>
      <x v="2"/>
    </i>
    <i>
      <x v="3"/>
    </i>
    <i>
      <x v="4"/>
    </i>
    <i t="grand">
      <x/>
    </i>
  </rowItems>
  <colFields count="1">
    <field x="3"/>
  </colFields>
  <colItems count="5">
    <i>
      <x/>
    </i>
    <i>
      <x v="1"/>
    </i>
    <i>
      <x v="2"/>
    </i>
    <i>
      <x v="3"/>
    </i>
    <i t="grand">
      <x/>
    </i>
  </colItems>
  <dataFields count="1">
    <dataField name="Average of Customer Satisfaction Scor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FBF477-DC2F-0E4B-A168-99468CC1DD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4:B69" firstHeaderRow="1" firstDataRow="1" firstDataCol="1"/>
  <pivotFields count="10">
    <pivotField showAll="0">
      <items count="327">
        <item x="136"/>
        <item x="36"/>
        <item x="27"/>
        <item x="310"/>
        <item x="100"/>
        <item x="48"/>
        <item x="32"/>
        <item x="180"/>
        <item x="163"/>
        <item x="201"/>
        <item x="83"/>
        <item x="252"/>
        <item x="75"/>
        <item x="204"/>
        <item x="68"/>
        <item x="93"/>
        <item x="10"/>
        <item x="268"/>
        <item x="78"/>
        <item x="106"/>
        <item x="84"/>
        <item x="145"/>
        <item x="215"/>
        <item x="218"/>
        <item x="316"/>
        <item x="295"/>
        <item x="35"/>
        <item x="325"/>
        <item x="256"/>
        <item x="74"/>
        <item x="161"/>
        <item x="62"/>
        <item x="77"/>
        <item x="271"/>
        <item x="251"/>
        <item x="43"/>
        <item x="225"/>
        <item x="184"/>
        <item x="205"/>
        <item x="226"/>
        <item x="67"/>
        <item x="237"/>
        <item x="19"/>
        <item x="304"/>
        <item x="90"/>
        <item x="244"/>
        <item x="168"/>
        <item x="46"/>
        <item x="134"/>
        <item x="170"/>
        <item x="217"/>
        <item x="222"/>
        <item x="160"/>
        <item x="229"/>
        <item x="42"/>
        <item x="236"/>
        <item x="212"/>
        <item x="140"/>
        <item x="196"/>
        <item x="22"/>
        <item x="126"/>
        <item x="50"/>
        <item x="253"/>
        <item x="0"/>
        <item x="210"/>
        <item x="188"/>
        <item x="285"/>
        <item x="69"/>
        <item x="141"/>
        <item x="109"/>
        <item x="318"/>
        <item x="278"/>
        <item x="91"/>
        <item x="314"/>
        <item x="231"/>
        <item x="139"/>
        <item x="147"/>
        <item x="72"/>
        <item x="189"/>
        <item x="37"/>
        <item x="194"/>
        <item x="95"/>
        <item x="187"/>
        <item x="87"/>
        <item x="166"/>
        <item x="64"/>
        <item x="26"/>
        <item x="135"/>
        <item x="154"/>
        <item x="162"/>
        <item x="41"/>
        <item x="255"/>
        <item x="61"/>
        <item x="38"/>
        <item x="309"/>
        <item x="24"/>
        <item x="312"/>
        <item x="25"/>
        <item x="44"/>
        <item x="181"/>
        <item x="9"/>
        <item x="324"/>
        <item x="286"/>
        <item x="258"/>
        <item x="59"/>
        <item x="283"/>
        <item x="262"/>
        <item x="206"/>
        <item x="51"/>
        <item x="167"/>
        <item x="97"/>
        <item x="266"/>
        <item x="208"/>
        <item x="199"/>
        <item x="127"/>
        <item x="66"/>
        <item x="79"/>
        <item x="219"/>
        <item x="142"/>
        <item x="18"/>
        <item x="85"/>
        <item x="110"/>
        <item x="149"/>
        <item x="155"/>
        <item x="80"/>
        <item x="292"/>
        <item x="94"/>
        <item x="52"/>
        <item x="301"/>
        <item x="288"/>
        <item x="221"/>
        <item x="117"/>
        <item x="305"/>
        <item x="14"/>
        <item x="228"/>
        <item x="57"/>
        <item x="146"/>
        <item x="172"/>
        <item x="307"/>
        <item x="53"/>
        <item x="108"/>
        <item x="240"/>
        <item x="3"/>
        <item x="121"/>
        <item x="115"/>
        <item x="33"/>
        <item x="113"/>
        <item x="264"/>
        <item x="144"/>
        <item x="60"/>
        <item x="300"/>
        <item x="102"/>
        <item x="128"/>
        <item x="293"/>
        <item x="287"/>
        <item x="294"/>
        <item x="13"/>
        <item x="158"/>
        <item x="303"/>
        <item x="125"/>
        <item x="28"/>
        <item x="89"/>
        <item x="313"/>
        <item x="269"/>
        <item x="129"/>
        <item x="173"/>
        <item x="211"/>
        <item x="133"/>
        <item x="183"/>
        <item x="323"/>
        <item x="235"/>
        <item x="132"/>
        <item x="276"/>
        <item x="207"/>
        <item x="156"/>
        <item x="15"/>
        <item x="203"/>
        <item x="76"/>
        <item x="209"/>
        <item x="138"/>
        <item x="119"/>
        <item x="223"/>
        <item x="241"/>
        <item x="169"/>
        <item x="1"/>
        <item x="277"/>
        <item x="239"/>
        <item x="4"/>
        <item x="12"/>
        <item x="281"/>
        <item x="86"/>
        <item x="56"/>
        <item x="291"/>
        <item x="47"/>
        <item x="302"/>
        <item x="182"/>
        <item x="11"/>
        <item x="224"/>
        <item x="216"/>
        <item x="8"/>
        <item x="298"/>
        <item x="70"/>
        <item x="238"/>
        <item x="230"/>
        <item x="190"/>
        <item x="260"/>
        <item x="317"/>
        <item x="270"/>
        <item x="193"/>
        <item x="99"/>
        <item x="88"/>
        <item x="320"/>
        <item x="227"/>
        <item x="296"/>
        <item x="171"/>
        <item x="49"/>
        <item x="150"/>
        <item x="6"/>
        <item x="250"/>
        <item x="137"/>
        <item x="254"/>
        <item x="290"/>
        <item x="265"/>
        <item x="249"/>
        <item x="20"/>
        <item x="259"/>
        <item x="118"/>
        <item x="81"/>
        <item x="185"/>
        <item x="120"/>
        <item x="261"/>
        <item x="275"/>
        <item x="151"/>
        <item x="191"/>
        <item x="242"/>
        <item x="280"/>
        <item x="152"/>
        <item x="124"/>
        <item x="16"/>
        <item x="179"/>
        <item x="192"/>
        <item x="234"/>
        <item x="233"/>
        <item x="45"/>
        <item x="122"/>
        <item x="322"/>
        <item x="54"/>
        <item x="34"/>
        <item x="279"/>
        <item x="55"/>
        <item x="107"/>
        <item x="143"/>
        <item x="214"/>
        <item x="71"/>
        <item x="105"/>
        <item x="114"/>
        <item x="164"/>
        <item x="23"/>
        <item x="257"/>
        <item x="297"/>
        <item x="73"/>
        <item x="198"/>
        <item x="63"/>
        <item x="311"/>
        <item x="306"/>
        <item x="103"/>
        <item x="31"/>
        <item x="186"/>
        <item x="248"/>
        <item x="101"/>
        <item x="272"/>
        <item x="202"/>
        <item x="282"/>
        <item x="308"/>
        <item x="289"/>
        <item x="7"/>
        <item x="177"/>
        <item x="263"/>
        <item x="5"/>
        <item x="321"/>
        <item x="21"/>
        <item x="157"/>
        <item x="299"/>
        <item x="232"/>
        <item x="40"/>
        <item x="213"/>
        <item x="274"/>
        <item x="2"/>
        <item x="116"/>
        <item x="98"/>
        <item x="111"/>
        <item x="92"/>
        <item x="96"/>
        <item x="197"/>
        <item x="245"/>
        <item x="65"/>
        <item x="319"/>
        <item x="284"/>
        <item x="131"/>
        <item x="200"/>
        <item x="39"/>
        <item x="17"/>
        <item x="246"/>
        <item x="30"/>
        <item x="82"/>
        <item x="273"/>
        <item x="130"/>
        <item x="159"/>
        <item x="195"/>
        <item x="267"/>
        <item x="153"/>
        <item x="123"/>
        <item x="243"/>
        <item x="165"/>
        <item x="178"/>
        <item x="104"/>
        <item x="176"/>
        <item x="175"/>
        <item x="315"/>
        <item x="220"/>
        <item x="247"/>
        <item x="148"/>
        <item x="58"/>
        <item x="174"/>
        <item x="112"/>
        <item x="29"/>
        <item t="default"/>
      </items>
    </pivotField>
    <pivotField showAll="0">
      <items count="9">
        <item x="6"/>
        <item x="7"/>
        <item x="1"/>
        <item x="0"/>
        <item x="4"/>
        <item x="2"/>
        <item x="3"/>
        <item x="5"/>
        <item t="default"/>
      </items>
    </pivotField>
    <pivotField showAll="0">
      <items count="6">
        <item x="2"/>
        <item x="3"/>
        <item x="4"/>
        <item x="1"/>
        <item x="0"/>
        <item t="default"/>
      </items>
    </pivotField>
    <pivotField axis="axisRow" showAll="0">
      <items count="5">
        <item x="3"/>
        <item x="2"/>
        <item x="0"/>
        <item x="1"/>
        <item t="default"/>
      </items>
    </pivotField>
    <pivotField showAll="0">
      <items count="6">
        <item x="0"/>
        <item x="3"/>
        <item x="1"/>
        <item x="4"/>
        <item x="2"/>
        <item t="default"/>
      </items>
    </pivotField>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Average of Avg Checkout Time Minutes" fld="6"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rd_ID" xr10:uid="{415DD734-AF3B-A84A-807E-D11E9FF3B32C}" sourceName="Record ID">
  <pivotTables>
    <pivotTable tabId="5" name="PivotTable1"/>
    <pivotTable tabId="5" name="PivotTable2"/>
    <pivotTable tabId="5" name="PivotTable3"/>
    <pivotTable tabId="5" name="PivotTable4"/>
    <pivotTable tabId="5" name="PivotTable5"/>
    <pivotTable tabId="5" name="PivotTable6"/>
  </pivotTables>
  <data>
    <tabular pivotCacheId="2131088657">
      <items count="326">
        <i x="136" s="1"/>
        <i x="36" s="1"/>
        <i x="27" s="1"/>
        <i x="310" s="1"/>
        <i x="100" s="1"/>
        <i x="48" s="1"/>
        <i x="32" s="1"/>
        <i x="180" s="1"/>
        <i x="163" s="1"/>
        <i x="201" s="1"/>
        <i x="83" s="1"/>
        <i x="252" s="1"/>
        <i x="75" s="1"/>
        <i x="204" s="1"/>
        <i x="68" s="1"/>
        <i x="93" s="1"/>
        <i x="10" s="1"/>
        <i x="268" s="1"/>
        <i x="78" s="1"/>
        <i x="106" s="1"/>
        <i x="84" s="1"/>
        <i x="145" s="1"/>
        <i x="215" s="1"/>
        <i x="218" s="1"/>
        <i x="316" s="1"/>
        <i x="295" s="1"/>
        <i x="35" s="1"/>
        <i x="325" s="1"/>
        <i x="256" s="1"/>
        <i x="74" s="1"/>
        <i x="161" s="1"/>
        <i x="62" s="1"/>
        <i x="77" s="1"/>
        <i x="271" s="1"/>
        <i x="251" s="1"/>
        <i x="43" s="1"/>
        <i x="225" s="1"/>
        <i x="184" s="1"/>
        <i x="205" s="1"/>
        <i x="226" s="1"/>
        <i x="67" s="1"/>
        <i x="237" s="1"/>
        <i x="19" s="1"/>
        <i x="304" s="1"/>
        <i x="90" s="1"/>
        <i x="244" s="1"/>
        <i x="168" s="1"/>
        <i x="46" s="1"/>
        <i x="134" s="1"/>
        <i x="170" s="1"/>
        <i x="217" s="1"/>
        <i x="222" s="1"/>
        <i x="160" s="1"/>
        <i x="229" s="1"/>
        <i x="42" s="1"/>
        <i x="236" s="1"/>
        <i x="212" s="1"/>
        <i x="140" s="1"/>
        <i x="196" s="1"/>
        <i x="22" s="1"/>
        <i x="126" s="1"/>
        <i x="50" s="1"/>
        <i x="253" s="1"/>
        <i x="0" s="1"/>
        <i x="210" s="1"/>
        <i x="188" s="1"/>
        <i x="285" s="1"/>
        <i x="69" s="1"/>
        <i x="141" s="1"/>
        <i x="109" s="1"/>
        <i x="318" s="1"/>
        <i x="278" s="1"/>
        <i x="91" s="1"/>
        <i x="314" s="1"/>
        <i x="231" s="1"/>
        <i x="139" s="1"/>
        <i x="147" s="1"/>
        <i x="72" s="1"/>
        <i x="189" s="1"/>
        <i x="37" s="1"/>
        <i x="194" s="1"/>
        <i x="95" s="1"/>
        <i x="187" s="1"/>
        <i x="87" s="1"/>
        <i x="166" s="1"/>
        <i x="64" s="1"/>
        <i x="26" s="1"/>
        <i x="135" s="1"/>
        <i x="154" s="1"/>
        <i x="162" s="1"/>
        <i x="41" s="1"/>
        <i x="255" s="1"/>
        <i x="61" s="1"/>
        <i x="38" s="1"/>
        <i x="309" s="1"/>
        <i x="24" s="1"/>
        <i x="312" s="1"/>
        <i x="25" s="1"/>
        <i x="44" s="1"/>
        <i x="181" s="1"/>
        <i x="9" s="1"/>
        <i x="324" s="1"/>
        <i x="286" s="1"/>
        <i x="258" s="1"/>
        <i x="59" s="1"/>
        <i x="283" s="1"/>
        <i x="262" s="1"/>
        <i x="206" s="1"/>
        <i x="51" s="1"/>
        <i x="167" s="1"/>
        <i x="97" s="1"/>
        <i x="266" s="1"/>
        <i x="208" s="1"/>
        <i x="199" s="1"/>
        <i x="127" s="1"/>
        <i x="66" s="1"/>
        <i x="79" s="1"/>
        <i x="219" s="1"/>
        <i x="142" s="1"/>
        <i x="18" s="1"/>
        <i x="85" s="1"/>
        <i x="110" s="1"/>
        <i x="149" s="1"/>
        <i x="155" s="1"/>
        <i x="80" s="1"/>
        <i x="292" s="1"/>
        <i x="94" s="1"/>
        <i x="52" s="1"/>
        <i x="301" s="1"/>
        <i x="288" s="1"/>
        <i x="221" s="1"/>
        <i x="117" s="1"/>
        <i x="305" s="1"/>
        <i x="14" s="1"/>
        <i x="228" s="1"/>
        <i x="57" s="1"/>
        <i x="146" s="1"/>
        <i x="172" s="1"/>
        <i x="307" s="1"/>
        <i x="53" s="1"/>
        <i x="108" s="1"/>
        <i x="240" s="1"/>
        <i x="3" s="1"/>
        <i x="121" s="1"/>
        <i x="115" s="1"/>
        <i x="33" s="1"/>
        <i x="113" s="1"/>
        <i x="264" s="1"/>
        <i x="144" s="1"/>
        <i x="60" s="1"/>
        <i x="300" s="1"/>
        <i x="102" s="1"/>
        <i x="128" s="1"/>
        <i x="293" s="1"/>
        <i x="287" s="1"/>
        <i x="294" s="1"/>
        <i x="13" s="1"/>
        <i x="158" s="1"/>
        <i x="303" s="1"/>
        <i x="125" s="1"/>
        <i x="28" s="1"/>
        <i x="89" s="1"/>
        <i x="313" s="1"/>
        <i x="269" s="1"/>
        <i x="129" s="1"/>
        <i x="173" s="1"/>
        <i x="211" s="1"/>
        <i x="133" s="1"/>
        <i x="183" s="1"/>
        <i x="323" s="1"/>
        <i x="235" s="1"/>
        <i x="132" s="1"/>
        <i x="276" s="1"/>
        <i x="207" s="1"/>
        <i x="156" s="1"/>
        <i x="15" s="1"/>
        <i x="203" s="1"/>
        <i x="76" s="1"/>
        <i x="209" s="1"/>
        <i x="138" s="1"/>
        <i x="119" s="1"/>
        <i x="223" s="1"/>
        <i x="241" s="1"/>
        <i x="169" s="1"/>
        <i x="1" s="1"/>
        <i x="277" s="1"/>
        <i x="239" s="1"/>
        <i x="4" s="1"/>
        <i x="12" s="1"/>
        <i x="281" s="1"/>
        <i x="86" s="1"/>
        <i x="56" s="1"/>
        <i x="291" s="1"/>
        <i x="47" s="1"/>
        <i x="302" s="1"/>
        <i x="182" s="1"/>
        <i x="11" s="1"/>
        <i x="224" s="1"/>
        <i x="216" s="1"/>
        <i x="8" s="1"/>
        <i x="298" s="1"/>
        <i x="70" s="1"/>
        <i x="238" s="1"/>
        <i x="230" s="1"/>
        <i x="190" s="1"/>
        <i x="260" s="1"/>
        <i x="317" s="1"/>
        <i x="270" s="1"/>
        <i x="193" s="1"/>
        <i x="99" s="1"/>
        <i x="88" s="1"/>
        <i x="320" s="1"/>
        <i x="227" s="1"/>
        <i x="296" s="1"/>
        <i x="171" s="1"/>
        <i x="49" s="1"/>
        <i x="150" s="1"/>
        <i x="6" s="1"/>
        <i x="250" s="1"/>
        <i x="137" s="1"/>
        <i x="254" s="1"/>
        <i x="290" s="1"/>
        <i x="265" s="1"/>
        <i x="249" s="1"/>
        <i x="20" s="1"/>
        <i x="259" s="1"/>
        <i x="118" s="1"/>
        <i x="81" s="1"/>
        <i x="185" s="1"/>
        <i x="120" s="1"/>
        <i x="261" s="1"/>
        <i x="275" s="1"/>
        <i x="151" s="1"/>
        <i x="191" s="1"/>
        <i x="242" s="1"/>
        <i x="280" s="1"/>
        <i x="152" s="1"/>
        <i x="124" s="1"/>
        <i x="16" s="1"/>
        <i x="179" s="1"/>
        <i x="192" s="1"/>
        <i x="234" s="1"/>
        <i x="233" s="1"/>
        <i x="45" s="1"/>
        <i x="122" s="1"/>
        <i x="322" s="1"/>
        <i x="54" s="1"/>
        <i x="34" s="1"/>
        <i x="279" s="1"/>
        <i x="55" s="1"/>
        <i x="107" s="1"/>
        <i x="143" s="1"/>
        <i x="214" s="1"/>
        <i x="71" s="1"/>
        <i x="105" s="1"/>
        <i x="114" s="1"/>
        <i x="164" s="1"/>
        <i x="23" s="1"/>
        <i x="257" s="1"/>
        <i x="297" s="1"/>
        <i x="73" s="1"/>
        <i x="198" s="1"/>
        <i x="63" s="1"/>
        <i x="311" s="1"/>
        <i x="306" s="1"/>
        <i x="103" s="1"/>
        <i x="31" s="1"/>
        <i x="186" s="1"/>
        <i x="248" s="1"/>
        <i x="101" s="1"/>
        <i x="272" s="1"/>
        <i x="202" s="1"/>
        <i x="282" s="1"/>
        <i x="308" s="1"/>
        <i x="289" s="1"/>
        <i x="7" s="1"/>
        <i x="177" s="1"/>
        <i x="263" s="1"/>
        <i x="5" s="1"/>
        <i x="321" s="1"/>
        <i x="21" s="1"/>
        <i x="157" s="1"/>
        <i x="299" s="1"/>
        <i x="232" s="1"/>
        <i x="40" s="1"/>
        <i x="213" s="1"/>
        <i x="274" s="1"/>
        <i x="2" s="1"/>
        <i x="116" s="1"/>
        <i x="98" s="1"/>
        <i x="111" s="1"/>
        <i x="92" s="1"/>
        <i x="96" s="1"/>
        <i x="197" s="1"/>
        <i x="245" s="1"/>
        <i x="65" s="1"/>
        <i x="319" s="1"/>
        <i x="284" s="1"/>
        <i x="131" s="1"/>
        <i x="200" s="1"/>
        <i x="39" s="1"/>
        <i x="17" s="1"/>
        <i x="246" s="1"/>
        <i x="30" s="1"/>
        <i x="82" s="1"/>
        <i x="273" s="1"/>
        <i x="130" s="1"/>
        <i x="159" s="1"/>
        <i x="195" s="1"/>
        <i x="267" s="1"/>
        <i x="153" s="1"/>
        <i x="123" s="1"/>
        <i x="243" s="1"/>
        <i x="165" s="1"/>
        <i x="178" s="1"/>
        <i x="104" s="1"/>
        <i x="176" s="1"/>
        <i x="175" s="1"/>
        <i x="315" s="1"/>
        <i x="220" s="1"/>
        <i x="247" s="1"/>
        <i x="148" s="1"/>
        <i x="58" s="1"/>
        <i x="174" s="1"/>
        <i x="112"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Quarter" xr10:uid="{4A6CD4A6-89EF-054B-931D-B4E6BCC4A3E7}" sourceName="Fiscal Quarter">
  <pivotTables>
    <pivotTable tabId="5" name="PivotTable1"/>
    <pivotTable tabId="5" name="PivotTable2"/>
    <pivotTable tabId="5" name="PivotTable3"/>
    <pivotTable tabId="5" name="PivotTable4"/>
    <pivotTable tabId="5" name="PivotTable5"/>
  </pivotTables>
  <data>
    <tabular pivotCacheId="2131088657">
      <items count="8">
        <i x="6" s="1"/>
        <i x="7" s="1"/>
        <i x="1" s="1"/>
        <i x="0" s="1"/>
        <i x="4"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F6655A-EC75-A84F-8E39-72FE8EC62F7A}" sourceName="Region">
  <pivotTables>
    <pivotTable tabId="5" name="PivotTable1"/>
    <pivotTable tabId="5" name="PivotTable2"/>
    <pivotTable tabId="5" name="PivotTable3"/>
    <pivotTable tabId="5" name="PivotTable4"/>
    <pivotTable tabId="5" name="PivotTable5"/>
  </pivotTables>
  <data>
    <tabular pivotCacheId="2131088657">
      <items count="5">
        <i x="2" s="1"/>
        <i x="3"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BA0A0B6-A9A7-0F4D-9034-4CAAD3D5FF81}" sourceName="Product Category">
  <pivotTables>
    <pivotTable tabId="5" name="PivotTable1"/>
    <pivotTable tabId="5" name="PivotTable2"/>
    <pivotTable tabId="5" name="PivotTable3"/>
    <pivotTable tabId="5" name="PivotTable4"/>
    <pivotTable tabId="5" name="PivotTable5"/>
  </pivotTables>
  <data>
    <tabular pivotCacheId="2131088657">
      <items count="5">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ord ID" xr10:uid="{AADB5A72-45C9-1F49-BFF4-6BAB62C1DCE2}" cache="Slicer_Record_ID" caption="Record ID" style="SlicerStyleLight5" rowHeight="230716"/>
  <slicer name="Fiscal Quarter" xr10:uid="{AD197D28-750D-E843-8E71-761427B1383B}" cache="Slicer_Fiscal_Quarter" caption="Fiscal Quarter" style="SlicerStyleLight5" rowHeight="230716"/>
  <slicer name="Region" xr10:uid="{BAD33046-64D3-4144-B636-9D126A063796}" cache="Slicer_Region" caption="Region" style="SlicerStyleLight5" rowHeight="230716"/>
  <slicer name="Product Category" xr10:uid="{93A91A11-8774-D649-9C53-73FB95A0F0AB}" cache="Slicer_Product_Category" caption="Product Category"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5C12F6-796F-FE4F-B8E3-9F77505EFE42}" name="Table1" displayName="Table1" ref="B48:C54" totalsRowShown="0">
  <autoFilter ref="B48:C54" xr:uid="{A75C12F6-796F-FE4F-B8E3-9F77505EFE42}"/>
  <tableColumns count="2">
    <tableColumn id="1" xr3:uid="{24F62C37-55D5-3B49-B0BB-B77DD5B2A8F0}" name="Region" dataDxfId="3"/>
    <tableColumn id="2" xr3:uid="{9881EF3E-C953-8A4E-9715-5BA547747713}" name="Cost per unit "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448246-F1A9-AA4B-ABEE-78D5616F63B6}">
  <we:reference id="wa200010884" version="1.0.0.2" store="en-GB" storeType="OMEX"/>
  <we:alternateReferences>
    <we:reference id="wa200010884" version="1.0.0.2" store="en-GB"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_xldudf_STAT_ACF</we:customFunctionIds>
        <we:customFunctionIds>_xldudf_STAT_ACOVF</we:customFunctionIds>
        <we:customFunctionIds>_xldudf_STAT_ADFULLER</we:customFunctionIds>
        <we:customFunctionIds>_xldudf_STAT_ALEXANDERGOVERN</we:customFunctionIds>
        <we:customFunctionIds>_xldudf_STAT_ANDERSON_KSAMP</we:customFunctionIds>
        <we:customFunctionIds>_xldudf_STAT_ANOVA</we:customFunctionIds>
        <we:customFunctionIds>_xldudf_STAT_ANSARI</we:customFunctionIds>
        <we:customFunctionIds>_xldudf_STAT_ARIMA_FORECAST</we:customFunctionIds>
        <we:customFunctionIds>_xldudf_STAT_ARMA_ORDER_IC</we:customFunctionIds>
        <we:customFunctionIds>_xldudf_STAT_BARNARD_EXACT</we:customFunctionIds>
        <we:customFunctionIds>_xldudf_STAT_BARTLETT</we:customFunctionIds>
        <we:customFunctionIds>_xldudf_STAT_BAYES_MVS_CI</we:customFunctionIds>
        <we:customFunctionIds>_xldudf_STAT_BB_LOGBETA</we:customFunctionIds>
        <we:customFunctionIds>_xldudf_STAT_BB_POST_UPDATE</we:customFunctionIds>
        <we:customFunctionIds>_xldudf_STAT_BB_QBETA</we:customFunctionIds>
        <we:customFunctionIds>_xldudf_STAT_BERNOULLI</we:customFunctionIds>
        <we:customFunctionIds>_xldudf_STAT_BETA</we:customFunctionIds>
        <we:customFunctionIds>_xldudf_STAT_BETA_CI_BOUNDS</we:customFunctionIds>
        <we:customFunctionIds>_xldudf_STAT_BETABINOM</we:customFunctionIds>
        <we:customFunctionIds>_xldudf_STAT_BETANBINOM</we:customFunctionIds>
        <we:customFunctionIds>_xldudf_STAT_BINNED_STATISTIC</we:customFunctionIds>
        <we:customFunctionIds>_xldudf_STAT_BINNED_STATISTIC_2D</we:customFunctionIds>
        <we:customFunctionIds>_xldudf_STAT_BINOM</we:customFunctionIds>
        <we:customFunctionIds>_xldudf_STAT_BINOMTEST</we:customFunctionIds>
        <we:customFunctionIds>_xldudf_STAT_BOLTZMANN</we:customFunctionIds>
        <we:customFunctionIds>_xldudf_STAT_BOSCHLOO_EXACT</we:customFunctionIds>
        <we:customFunctionIds>_xldudf_STAT_BRUNNERMUNZEL</we:customFunctionIds>
        <we:customFunctionIds>_xldudf_STAT_BWS_TEST</we:customFunctionIds>
        <we:customFunctionIds>_xldudf_STAT_CANCORR</we:customFunctionIds>
        <we:customFunctionIds>_xldudf_STAT_CAUCHY</we:customFunctionIds>
        <we:customFunctionIds>_xldudf_STAT_CCF</we:customFunctionIds>
        <we:customFunctionIds>_xldudf_STAT_CCOVF</we:customFunctionIds>
        <we:customFunctionIds>_xldudf_STAT_CHI2_CONTINGENCY</we:customFunctionIds>
        <we:customFunctionIds>_xldudf_STAT_CHISQ</we:customFunctionIds>
        <we:customFunctionIds>_xldudf_STAT_COX_HAZARDS</we:customFunctionIds>
        <we:customFunctionIds>_xldudf_STAT_CRONBACH_ALPHA</we:customFunctionIds>
        <we:customFunctionIds>_xldudf_STAT_CUMFREQ</we:customFunctionIds>
        <we:customFunctionIds>_xldudf_STAT_CVM_2SAMP</we:customFunctionIds>
        <we:customFunctionIds>_xldudf_STAT_DESCRIBE</we:customFunctionIds>
        <we:customFunctionIds>_xldudf_STAT_DETREND</we:customFunctionIds>
        <we:customFunctionIds>_xldudf_STAT_DIRICHLET</we:customFunctionIds>
        <we:customFunctionIds>_xldudf_STAT_DIRICHLET_MULTINOM</we:customFunctionIds>
        <we:customFunctionIds>_xldudf_STAT_DISTANCE_CORR</we:customFunctionIds>
        <we:customFunctionIds>_xldudf_STAT_DLAPLACE</we:customFunctionIds>
        <we:customFunctionIds>_xldudf_STAT_DM_CRED_INT</we:customFunctionIds>
        <we:customFunctionIds>_xldudf_STAT_DM_DIRICHLET_SUM</we:customFunctionIds>
        <we:customFunctionIds>_xldudf_STAT_DM_LOGBETA</we:customFunctionIds>
        <we:customFunctionIds>_xldudf_STAT_DM_LOGSUM_NORM</we:customFunctionIds>
        <we:customFunctionIds>_xldudf_STAT_DM_POST_UPDATE</we:customFunctionIds>
        <we:customFunctionIds>_xldudf_STAT_DM_PREDICTIVE</we:customFunctionIds>
        <we:customFunctionIds>_xldudf_STAT_DUNNETT</we:customFunctionIds>
        <we:customFunctionIds>_xldudf_STAT_EMA_LFILTER</we:customFunctionIds>
        <we:customFunctionIds>_xldudf_STAT_EMA_PERIOD</we:customFunctionIds>
        <we:customFunctionIds>_xldudf_STAT_EPPS_SINGLE_2SAMP</we:customFunctionIds>
        <we:customFunctionIds>_xldudf_STAT_EXP_SURVIVAL_REG</we:customFunctionIds>
        <we:customFunctionIds>_xldudf_STAT_EXPECTILE</we:customFunctionIds>
        <we:customFunctionIds>_xldudf_STAT_EXPON</we:customFunctionIds>
        <we:customFunctionIds>_xldudf_STAT_F_DIST</we:customFunctionIds>
        <we:customFunctionIds>_xldudf_STAT_F_ONEWAY</we:customFunctionIds>
        <we:customFunctionIds>_xldudf_STAT_FACTOR_ANALYSIS</we:customFunctionIds>
        <we:customFunctionIds>_xldudf_STAT_FISHER_EXACT</we:customFunctionIds>
        <we:customFunctionIds>_xldudf_STAT_FLIGNER</we:customFunctionIds>
        <we:customFunctionIds>_xldudf_STAT_FRIEDMANCHISQUARE</we:customFunctionIds>
        <we:customFunctionIds>_xldudf_STAT_GAMESHOWELL</we:customFunctionIds>
        <we:customFunctionIds>_xldudf_STAT_GAMMA_CI_BOUNDS</we:customFunctionIds>
        <we:customFunctionIds>_xldudf_STAT_GAMMA_POST_Q</we:customFunctionIds>
        <we:customFunctionIds>_xldudf_STAT_GEE_MODEL</we:customFunctionIds>
        <we:customFunctionIds>_xldudf_STAT_GEOM</we:customFunctionIds>
        <we:customFunctionIds>_xldudf_STAT_GLM_BINOMIAL</we:customFunctionIds>
        <we:customFunctionIds>_xldudf_STAT_GLM_GAMMA</we:customFunctionIds>
        <we:customFunctionIds>_xldudf_STAT_GLM_INV_GAUSS</we:customFunctionIds>
        <we:customFunctionIds>_xldudf_STAT_GLM_NEG_BINOM</we:customFunctionIds>
        <we:customFunctionIds>_xldudf_STAT_GLM_POISSON</we:customFunctionIds>
        <we:customFunctionIds>_xldudf_STAT_GLM_TWEEDIE</we:customFunctionIds>
        <we:customFunctionIds>_xldudf_STAT_GLMM_BINOMIAL</we:customFunctionIds>
        <we:customFunctionIds>_xldudf_STAT_GLMM_POISSON</we:customFunctionIds>
        <we:customFunctionIds>_xldudf_STAT_GLS_REGRESSION</we:customFunctionIds>
        <we:customFunctionIds>_xldudf_STAT_GMEAN</we:customFunctionIds>
        <we:customFunctionIds>_xldudf_STAT_HANNAN_RISSANEN</we:customFunctionIds>
        <we:customFunctionIds>_xldudf_STAT_HMEAN</we:customFunctionIds>
        <we:customFunctionIds>_xldudf_STAT_HOLT_FORECAST</we:customFunctionIds>
        <we:customFunctionIds>_xldudf_STAT_HOMOSCEDASTICITY</we:customFunctionIds>
        <we:customFunctionIds>_xldudf_STAT_HURDLE_COUNT_MODEL</we:customFunctionIds>
        <we:customFunctionIds>_xldudf_STAT_HW_FORECAST</we:customFunctionIds>
        <we:customFunctionIds>_xldudf_STAT_HYPERGEOM</we:customFunctionIds>
        <we:customFunctionIds>_xldudf_STAT_INFLUENCE_DIAG</we:customFunctionIds>
        <we:customFunctionIds>_xldudf_STAT_INNOVATIONS_MLE</we:customFunctionIds>
        <we:customFunctionIds>_xldudf_STAT_INVGAMMA_CI_BOUNDS</we:customFunctionIds>
        <we:customFunctionIds>_xldudf_STAT_INVGAMMA_POST_Q</we:customFunctionIds>
        <we:customFunctionIds>_xldudf_STAT_JARQUE_BERA</we:customFunctionIds>
        <we:customFunctionIds>_xldudf_STAT_KAPLAN_MEIER</we:customFunctionIds>
        <we:customFunctionIds>_xldudf_STAT_KENDALLTAU</we:customFunctionIds>
        <we:customFunctionIds>_xldudf_STAT_KPSS</we:customFunctionIds>
        <we:customFunctionIds>_xldudf_STAT_KRUSKAL</we:customFunctionIds>
        <we:customFunctionIds>_xldudf_STAT_KS_2SAMP</we:customFunctionIds>
        <we:customFunctionIds>_xldudf_STAT_KSTEST</we:customFunctionIds>
        <we:customFunctionIds>_xldudf_STAT_KURTOSIS</we:customFunctionIds>
        <we:customFunctionIds>_xldudf_STAT_KURTOSISTEST</we:customFunctionIds>
        <we:customFunctionIds>_xldudf_STAT_LAPLACE</we:customFunctionIds>
        <we:customFunctionIds>_xldudf_STAT_LEVENE</we:customFunctionIds>
        <we:customFunctionIds>_xldudf_STAT_LINREGRESS</we:customFunctionIds>
        <we:customFunctionIds>_xldudf_STAT_LOGIT_MODEL</we:customFunctionIds>
        <we:customFunctionIds>_xldudf_STAT_LOGNORM</we:customFunctionIds>
        <we:customFunctionIds>_xldudf_STAT_LOGSER</we:customFunctionIds>
        <we:customFunctionIds>_xldudf_STAT_MANNWHITNEYU</we:customFunctionIds>
        <we:customFunctionIds>_xldudf_STAT_MANOVA_TEST</we:customFunctionIds>
        <we:customFunctionIds>_xldudf_STAT_MATRIX_NORMAL</we:customFunctionIds>
        <we:customFunctionIds>_xldudf_STAT_MEDIAN_TEST</we:customFunctionIds>
        <we:customFunctionIds>_xldudf_STAT_MEDIATION_ANALYSIS</we:customFunctionIds>
        <we:customFunctionIds>_xldudf_STAT_MIXED_ANOVA</we:customFunctionIds>
        <we:customFunctionIds>_xldudf_STAT_MIXED_LINEAR_MODEL</we:customFunctionIds>
        <we:customFunctionIds>_xldudf_STAT_MODE</we:customFunctionIds>
        <we:customFunctionIds>_xldudf_STAT_MOMENT</we:customFunctionIds>
        <we:customFunctionIds>_xldudf_STAT_MOOD</we:customFunctionIds>
        <we:customFunctionIds>_xldudf_STAT_MSTL</we:customFunctionIds>
        <we:customFunctionIds>_xldudf_STAT_MULTINOMIAL</we:customFunctionIds>
        <we:customFunctionIds>_xldudf_STAT_MULTINOMIAL_LOGIT</we:customFunctionIds>
        <we:customFunctionIds>_xldudf_STAT_MULTISCALE_GRAPH</we:customFunctionIds>
        <we:customFunctionIds>_xldudf_STAT_MULTIVARIATE_NORMAL</we:customFunctionIds>
        <we:customFunctionIds>_xldudf_STAT_MULTIVARIATE_T</we:customFunctionIds>
        <we:customFunctionIds>_xldudf_STAT_MV_HYPERGEOM</we:customFunctionIds>
        <we:customFunctionIds>_xldudf_STAT_MVSDIST_CI</we:customFunctionIds>
        <we:customFunctionIds>_xldudf_STAT_NBINOM</we:customFunctionIds>
        <we:customFunctionIds>_xldudf_STAT_NHYPERGEOM</we:customFunctionIds>
        <we:customFunctionIds>_xldudf_STAT_NIG_POST_UPDATE</we:customFunctionIds>
        <we:customFunctionIds>_xldudf_STAT_NN_POST_UPDATE</we:customFunctionIds>
        <we:customFunctionIds>_xldudf_STAT_NORM</we:customFunctionIds>
        <we:customFunctionIds>_xldudf_STAT_NORMALITY</we:customFunctionIds>
        <we:customFunctionIds>_xldudf_STAT_NORMALTEST</we:customFunctionIds>
        <we:customFunctionIds>_xldudf_STAT_OLS_DIAGNOSTICS</we:customFunctionIds>
        <we:customFunctionIds>_xldudf_STAT_OLS_REGRESSION</we:customFunctionIds>
        <we:customFunctionIds>_xldudf_STAT_ORDERED_LOGIT</we:customFunctionIds>
        <we:customFunctionIds>_xldudf_STAT_ORTHO_GROUP</we:customFunctionIds>
        <we:customFunctionIds>_xldudf_STAT_PACF</we:customFunctionIds>
        <we:customFunctionIds>_xldudf_STAT_PAGE_TREND_TEST</we:customFunctionIds>
        <we:customFunctionIds>_xldudf_STAT_PAIRWISE_TUKEY</we:customFunctionIds>
        <we:customFunctionIds>_xldudf_STAT_PARETO</we:customFunctionIds>
        <we:customFunctionIds>_xldudf_STAT_PARTIAL_CORR</we:customFunctionIds>
        <we:customFunctionIds>_xldudf_STAT_PCA_ANALYSIS</we:customFunctionIds>
        <we:customFunctionIds>_xldudf_STAT_PEARSONR</we:customFunctionIds>
        <we:customFunctionIds>_xldudf_STAT_PERCENTILEOFSCORE</we:customFunctionIds>
        <we:customFunctionIds>_xldudf_STAT_PERIODOGRAM</we:customFunctionIds>
        <we:customFunctionIds>_xldudf_STAT_PLANCK</we:customFunctionIds>
        <we:customFunctionIds>_xldudf_STAT_PMEAN</we:customFunctionIds>
        <we:customFunctionIds>_xldudf_STAT_POINTBISERIALR</we:customFunctionIds>
        <we:customFunctionIds>_xldudf_STAT_POISSON_DIST</we:customFunctionIds>
        <we:customFunctionIds>_xldudf_STAT_POISSON_MEANS_TEST</we:customFunctionIds>
        <we:customFunctionIds>_xldudf_STAT_POSTERIOR_BMV</we:customFunctionIds>
        <we:customFunctionIds>_xldudf_STAT_POSTERIOR_ENTROPY</we:customFunctionIds>
        <we:customFunctionIds>_xldudf_STAT_POSTERIOR_LOGSUMEXP</we:customFunctionIds>
        <we:customFunctionIds>_xldudf_STAT_POSTERIOR_MAP</we:customFunctionIds>
        <we:customFunctionIds>_xldudf_STAT_POSTERIOR_TAILPROB</we:customFunctionIds>
        <we:customFunctionIds>_xldudf_STAT_POSTERIOR_WMEANVAR</we:customFunctionIds>
        <we:customFunctionIds>_xldudf_STAT_POSTERIOR_XLOGY</we:customFunctionIds>
        <we:customFunctionIds>_xldudf_STAT_PROBIT_MODEL</we:customFunctionIds>
        <we:customFunctionIds>_xldudf_STAT_Q_STAT</we:customFunctionIds>
        <we:customFunctionIds>_xldudf_STAT_QUANTILE_REGRESSION</we:customFunctionIds>
        <we:customFunctionIds>_xldudf_STAT_QUANTILE_TEST</we:customFunctionIds>
        <we:customFunctionIds>_xldudf_STAT_RANDINT</we:customFunctionIds>
        <we:customFunctionIds>_xldudf_STAT_RANDOM_CORRELATION</we:customFunctionIds>
        <we:customFunctionIds>_xldudf_STAT_RANKSUMS</we:customFunctionIds>
        <we:customFunctionIds>_xldudf_STAT_REGRESS_DIAG</we:customFunctionIds>
        <we:customFunctionIds>_xldudf_STAT_RELFREQ</we:customFunctionIds>
        <we:customFunctionIds>_xldudf_STAT_RM_ANOVA</we:customFunctionIds>
        <we:customFunctionIds>_xldudf_STAT_ROBUST_LINEAR_MODEL</we:customFunctionIds>
        <we:customFunctionIds>_xldudf_STAT_RURTEST</we:customFunctionIds>
        <we:customFunctionIds>_xldudf_STAT_SAMPLE_EQTAIL_CI</we:customFunctionIds>
        <we:customFunctionIds>_xldudf_STAT_SAMPLE_HPD_CI</we:customFunctionIds>
        <we:customFunctionIds>_xldudf_STAT_SARIMAX_FORECAST</we:customFunctionIds>
        <we:customFunctionIds>_xldudf_STAT_SCOREATPERCENTILE</we:customFunctionIds>
        <we:customFunctionIds>_xldudf_STAT_SEASDECOMP</we:customFunctionIds>
        <we:customFunctionIds>_xldudf_STAT_SES_FORECAST</we:customFunctionIds>
        <we:customFunctionIds>_xldudf_STAT_SHAPIRO</we:customFunctionIds>
        <we:customFunctionIds>_xldudf_STAT_SIEGELSLOPES</we:customFunctionIds>
        <we:customFunctionIds>_xldudf_STAT_SKELLAM</we:customFunctionIds>
        <we:customFunctionIds>_xldudf_STAT_SKEWNESS</we:customFunctionIds>
        <we:customFunctionIds>_xldudf_STAT_SKEWTEST</we:customFunctionIds>
        <we:customFunctionIds>_xldudf_STAT_SMA_CONV</we:customFunctionIds>
        <we:customFunctionIds>_xldudf_STAT_SMA_CUMSUM</we:customFunctionIds>
        <we:customFunctionIds>_xldudf_STAT_SOMERSD</we:customFunctionIds>
        <we:customFunctionIds>_xldudf_STAT_SPEARMANR</we:customFunctionIds>
        <we:customFunctionIds>_xldudf_STAT_SPECIAL_ORTHO_GROUP</we:customFunctionIds>
        <we:customFunctionIds>_xldudf_STAT_SPECIFICATION_TESTS</we:customFunctionIds>
        <we:customFunctionIds>_xldudf_STAT_STL</we:customFunctionIds>
        <we:customFunctionIds>_xldudf_STAT_T_DIST</we:customFunctionIds>
        <we:customFunctionIds>_xldudf_STAT_THEILSLOPES</we:customFunctionIds>
        <we:customFunctionIds>_xldudf_STAT_TTEST_1SAMP</we:customFunctionIds>
        <we:customFunctionIds>_xldudf_STAT_TTEST_IND</we:customFunctionIds>
        <we:customFunctionIds>_xldudf_STAT_TTEST_IND_STATS</we:customFunctionIds>
        <we:customFunctionIds>_xldudf_STAT_UNIFORM</we:customFunctionIds>
        <we:customFunctionIds>_xldudf_STAT_UNIFORM_DIRECTION</we:customFunctionIds>
        <we:customFunctionIds>_xldudf_STAT_UNITARY_GROUP</we:customFunctionIds>
        <we:customFunctionIds>_xldudf_STAT_VAL_DISCRETE</we:customFunctionIds>
        <we:customFunctionIds>_xldudf_STAT_VONMISES_FISHER</we:customFunctionIds>
        <we:customFunctionIds>_xldudf_STAT_WEIBULL_MIN</we:customFunctionIds>
        <we:customFunctionIds>_xldudf_STAT_WEIGHTEDTAU</we:customFunctionIds>
        <we:customFunctionIds>_xldudf_STAT_WELCH</we:customFunctionIds>
        <we:customFunctionIds>_xldudf_STAT_WELCH_ANOVA</we:customFunctionIds>
        <we:customFunctionIds>_xldudf_STAT_WINMA_CONV</we:customFunctionIds>
        <we:customFunctionIds>_xldudf_STAT_WISHART</we:customFunctionIds>
        <we:customFunctionIds>_xldudf_STAT_WLS_REGRESSION</we:customFunctionIds>
        <we:customFunctionIds>_xldudf_STAT_WMA</we:customFunctionIds>
        <we:customFunctionIds>_xldudf_STAT_YULESIMON</we:customFunctionIds>
        <we:customFunctionIds>_xldudf_STAT_ZINB_MODEL</we:customFunctionIds>
        <we:customFunctionIds>_xldudf_STAT_ZIP_MODEL</we:customFunctionIds>
        <we:customFunctionIds>_xldudf_STAT_ZIPF</we:customFunctionIds>
        <we:customFunctionIds>_xldudf_STAT_ZIPFIAN</we:customFunctionIds>
        <we:customFunctionIds>_xldudf_STAT_ZIVOT_ANDREWS</we:customFunctionIds>
      </we:customFunctionIdList>
    </a:ext>
  </we:extLst>
</we:webextension>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baseColWidth="10" defaultColWidth="14.5" defaultRowHeight="15" customHeight="1"/>
  <cols>
    <col min="1" max="1" width="144.1640625" customWidth="1"/>
    <col min="2" max="6" width="8.5" customWidth="1"/>
  </cols>
  <sheetData>
    <row r="1" spans="1:1" ht="14.25" customHeight="1">
      <c r="A1" s="1" t="s">
        <v>0</v>
      </c>
    </row>
    <row r="2" spans="1:1" ht="14.25" customHeight="1"/>
    <row r="3" spans="1:1" ht="14.25" customHeight="1">
      <c r="A3" s="3" t="s">
        <v>2</v>
      </c>
    </row>
    <row r="4" spans="1:1">
      <c r="A4" s="4" t="s">
        <v>5</v>
      </c>
    </row>
    <row r="5" spans="1:1" ht="14.25" customHeight="1"/>
    <row r="6" spans="1:1" ht="14.25" customHeight="1"/>
    <row r="7" spans="1:1" ht="14.25" customHeight="1">
      <c r="A7" s="3" t="s">
        <v>6</v>
      </c>
    </row>
    <row r="8" spans="1:1" ht="60" customHeight="1">
      <c r="A8" s="4" t="s">
        <v>8</v>
      </c>
    </row>
    <row r="9" spans="1:1" ht="14.25" customHeight="1"/>
    <row r="10" spans="1:1" ht="14.25" customHeight="1">
      <c r="A10" s="3" t="s">
        <v>10</v>
      </c>
    </row>
    <row r="11" spans="1:1" ht="28">
      <c r="A11" s="4" t="s">
        <v>12</v>
      </c>
    </row>
    <row r="12" spans="1:1" ht="14.25" customHeight="1"/>
    <row r="13" spans="1:1" ht="14.25" customHeight="1">
      <c r="A13" s="3" t="s">
        <v>14</v>
      </c>
    </row>
    <row r="14" spans="1:1" ht="60" customHeight="1">
      <c r="A14" s="4" t="s">
        <v>16</v>
      </c>
    </row>
    <row r="15" spans="1:1" ht="14.25" customHeight="1"/>
    <row r="16" spans="1:1" ht="14.25" customHeight="1">
      <c r="A16" s="3" t="s">
        <v>19</v>
      </c>
    </row>
    <row r="17" spans="1:1" ht="60" customHeight="1">
      <c r="A17" s="4" t="s">
        <v>22</v>
      </c>
    </row>
    <row r="18" spans="1:1" ht="14.25" customHeight="1"/>
    <row r="19" spans="1:1" ht="14.25" customHeight="1">
      <c r="A19" s="3" t="s">
        <v>24</v>
      </c>
    </row>
    <row r="20" spans="1:1" ht="42">
      <c r="A20" s="4" t="s">
        <v>26</v>
      </c>
    </row>
    <row r="21" spans="1:1" ht="14.25" customHeight="1"/>
    <row r="22" spans="1:1" ht="15.75" customHeight="1">
      <c r="A22" s="3"/>
    </row>
    <row r="23" spans="1:1" ht="15.75" customHeight="1">
      <c r="A23" s="4"/>
    </row>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A320" zoomScale="150" workbookViewId="0">
      <selection activeCell="B338" sqref="B338:D340"/>
    </sheetView>
  </sheetViews>
  <sheetFormatPr baseColWidth="10" defaultColWidth="14.5" defaultRowHeight="15" customHeight="1"/>
  <cols>
    <col min="1" max="1" width="11" customWidth="1"/>
    <col min="2" max="2" width="10" customWidth="1"/>
    <col min="3" max="3" width="13" customWidth="1"/>
    <col min="4" max="5" width="18" customWidth="1"/>
    <col min="6" max="6" width="12" customWidth="1"/>
    <col min="7" max="7" width="24" customWidth="1"/>
    <col min="8" max="8" width="22" customWidth="1"/>
    <col min="9" max="9" width="24" customWidth="1"/>
    <col min="10" max="10" width="22" customWidth="1"/>
  </cols>
  <sheetData>
    <row r="1" spans="1:10" ht="42" customHeight="1">
      <c r="A1" s="2" t="s">
        <v>1</v>
      </c>
    </row>
    <row r="2" spans="1:10" ht="30" customHeight="1">
      <c r="A2" s="5" t="s">
        <v>4</v>
      </c>
      <c r="B2" s="5" t="s">
        <v>7</v>
      </c>
      <c r="C2" s="5" t="s">
        <v>9</v>
      </c>
      <c r="D2" s="5" t="s">
        <v>11</v>
      </c>
      <c r="E2" s="5" t="s">
        <v>13</v>
      </c>
      <c r="F2" s="5" t="s">
        <v>15</v>
      </c>
      <c r="G2" s="5" t="s">
        <v>18</v>
      </c>
      <c r="H2" s="5" t="s">
        <v>20</v>
      </c>
      <c r="I2" s="5" t="s">
        <v>21</v>
      </c>
      <c r="J2" s="5" t="s">
        <v>23</v>
      </c>
    </row>
    <row r="3" spans="1:10" ht="14.25" customHeight="1">
      <c r="A3" s="8">
        <v>4065</v>
      </c>
      <c r="B3" s="8" t="s">
        <v>27</v>
      </c>
      <c r="C3" s="8" t="s">
        <v>28</v>
      </c>
      <c r="D3" s="8" t="s">
        <v>29</v>
      </c>
      <c r="E3" s="8" t="s">
        <v>30</v>
      </c>
      <c r="F3" s="8">
        <v>97</v>
      </c>
      <c r="G3" s="8">
        <v>6.3</v>
      </c>
      <c r="H3" s="8">
        <v>17.21</v>
      </c>
      <c r="I3" s="8">
        <v>7.7</v>
      </c>
      <c r="J3" s="8">
        <v>0</v>
      </c>
    </row>
    <row r="4" spans="1:10" ht="14.25" customHeight="1">
      <c r="A4" s="8">
        <v>4187</v>
      </c>
      <c r="B4" s="8" t="s">
        <v>34</v>
      </c>
      <c r="C4" s="8" t="s">
        <v>35</v>
      </c>
      <c r="D4" s="8" t="s">
        <v>36</v>
      </c>
      <c r="E4" s="8" t="s">
        <v>38</v>
      </c>
      <c r="F4" s="8">
        <v>223</v>
      </c>
      <c r="G4" s="8">
        <v>2.4</v>
      </c>
      <c r="H4" s="8">
        <v>53.03</v>
      </c>
      <c r="I4" s="8">
        <v>7.1</v>
      </c>
      <c r="J4" s="8">
        <v>16</v>
      </c>
    </row>
    <row r="5" spans="1:10" ht="14.25" customHeight="1">
      <c r="A5" s="8">
        <v>4290</v>
      </c>
      <c r="B5" s="8" t="s">
        <v>40</v>
      </c>
      <c r="C5" s="8" t="s">
        <v>28</v>
      </c>
      <c r="D5" s="8" t="s">
        <v>41</v>
      </c>
      <c r="E5" s="8" t="s">
        <v>42</v>
      </c>
      <c r="F5" s="8">
        <v>99</v>
      </c>
      <c r="G5" s="8">
        <v>11</v>
      </c>
      <c r="H5" s="8">
        <v>24.57</v>
      </c>
      <c r="I5" s="8">
        <v>8</v>
      </c>
      <c r="J5" s="8">
        <v>7</v>
      </c>
    </row>
    <row r="6" spans="1:10" ht="14.25" customHeight="1">
      <c r="A6" s="8">
        <v>4145</v>
      </c>
      <c r="B6" s="8" t="s">
        <v>44</v>
      </c>
      <c r="C6" s="8" t="s">
        <v>45</v>
      </c>
      <c r="D6" s="8" t="s">
        <v>36</v>
      </c>
      <c r="E6" s="8" t="s">
        <v>38</v>
      </c>
      <c r="F6" s="8">
        <v>177</v>
      </c>
      <c r="G6" s="8">
        <v>2.1</v>
      </c>
      <c r="H6" s="8">
        <v>40.17</v>
      </c>
      <c r="I6" s="8">
        <v>8</v>
      </c>
      <c r="J6" s="8">
        <v>11</v>
      </c>
    </row>
    <row r="7" spans="1:10" ht="14.25" customHeight="1">
      <c r="A7" s="8">
        <v>4190</v>
      </c>
      <c r="B7" s="8" t="s">
        <v>34</v>
      </c>
      <c r="C7" s="8" t="s">
        <v>28</v>
      </c>
      <c r="D7" s="8" t="s">
        <v>47</v>
      </c>
      <c r="E7" s="8" t="s">
        <v>38</v>
      </c>
      <c r="F7" s="8">
        <v>35</v>
      </c>
      <c r="G7" s="8">
        <v>2.7</v>
      </c>
      <c r="H7" s="8">
        <v>18.12</v>
      </c>
      <c r="I7" s="8">
        <v>6.6</v>
      </c>
      <c r="J7" s="8">
        <v>2</v>
      </c>
    </row>
    <row r="8" spans="1:10" ht="14.25" customHeight="1">
      <c r="A8" s="8">
        <v>4281</v>
      </c>
      <c r="B8" s="8" t="s">
        <v>27</v>
      </c>
      <c r="C8" s="8" t="s">
        <v>45</v>
      </c>
      <c r="D8" s="8" t="s">
        <v>29</v>
      </c>
      <c r="E8" s="8" t="s">
        <v>49</v>
      </c>
      <c r="F8" s="8">
        <v>146</v>
      </c>
      <c r="G8" s="8">
        <v>9.1999999999999993</v>
      </c>
      <c r="H8" s="8">
        <v>67.599999999999994</v>
      </c>
      <c r="I8" s="8">
        <v>7.1</v>
      </c>
      <c r="J8" s="8">
        <v>8</v>
      </c>
    </row>
    <row r="9" spans="1:10" ht="14.25" customHeight="1">
      <c r="A9" s="8">
        <v>4220</v>
      </c>
      <c r="B9" s="8" t="s">
        <v>40</v>
      </c>
      <c r="C9" s="8" t="s">
        <v>52</v>
      </c>
      <c r="D9" s="8" t="s">
        <v>47</v>
      </c>
      <c r="E9" s="8" t="s">
        <v>53</v>
      </c>
      <c r="F9" s="8">
        <v>197</v>
      </c>
      <c r="G9" s="8">
        <v>3.1</v>
      </c>
      <c r="H9" s="8">
        <v>74.73</v>
      </c>
      <c r="I9" s="8">
        <v>8.3000000000000007</v>
      </c>
      <c r="J9" s="8">
        <v>7</v>
      </c>
    </row>
    <row r="10" spans="1:10" ht="14.25" customHeight="1">
      <c r="A10" s="8">
        <v>4278</v>
      </c>
      <c r="B10" s="8" t="s">
        <v>55</v>
      </c>
      <c r="C10" s="8" t="s">
        <v>28</v>
      </c>
      <c r="D10" s="8" t="s">
        <v>29</v>
      </c>
      <c r="E10" s="8" t="s">
        <v>38</v>
      </c>
      <c r="G10" s="8">
        <v>7.3</v>
      </c>
      <c r="H10" s="8">
        <v>30.82</v>
      </c>
      <c r="I10" s="8">
        <v>8.6</v>
      </c>
      <c r="J10" s="8">
        <v>3</v>
      </c>
    </row>
    <row r="11" spans="1:10" ht="14.25" customHeight="1">
      <c r="A11" s="8">
        <v>4202</v>
      </c>
      <c r="B11" s="8" t="s">
        <v>34</v>
      </c>
      <c r="C11" s="8" t="s">
        <v>35</v>
      </c>
      <c r="D11" s="8" t="s">
        <v>41</v>
      </c>
      <c r="E11" s="8" t="s">
        <v>30</v>
      </c>
      <c r="F11" s="8">
        <v>137</v>
      </c>
      <c r="G11" s="8">
        <v>14.4</v>
      </c>
      <c r="H11" s="8">
        <v>67.61</v>
      </c>
      <c r="I11" s="8">
        <v>8.4</v>
      </c>
      <c r="J11" s="8">
        <v>8</v>
      </c>
    </row>
    <row r="12" spans="1:10" ht="14.25" customHeight="1">
      <c r="A12" s="8">
        <v>4102</v>
      </c>
      <c r="B12" s="8" t="s">
        <v>34</v>
      </c>
      <c r="C12" s="8" t="s">
        <v>35</v>
      </c>
      <c r="D12" s="8" t="s">
        <v>41</v>
      </c>
      <c r="E12" s="8" t="s">
        <v>30</v>
      </c>
      <c r="F12" s="8">
        <v>133</v>
      </c>
      <c r="G12" s="8">
        <v>17</v>
      </c>
      <c r="H12" s="8">
        <v>61.89</v>
      </c>
      <c r="I12" s="8">
        <v>9.9</v>
      </c>
      <c r="J12" s="8">
        <v>9</v>
      </c>
    </row>
    <row r="13" spans="1:10" ht="14.25" customHeight="1">
      <c r="A13" s="8">
        <v>4018</v>
      </c>
      <c r="B13" s="8" t="s">
        <v>27</v>
      </c>
      <c r="C13" s="8" t="s">
        <v>35</v>
      </c>
      <c r="D13" s="8" t="s">
        <v>36</v>
      </c>
      <c r="E13" s="8" t="s">
        <v>30</v>
      </c>
      <c r="F13" s="8">
        <v>202</v>
      </c>
      <c r="G13" s="8">
        <v>1.3</v>
      </c>
      <c r="H13" s="8">
        <v>55.17</v>
      </c>
      <c r="I13" s="8">
        <v>8.3000000000000007</v>
      </c>
      <c r="J13" s="8">
        <v>19</v>
      </c>
    </row>
    <row r="14" spans="1:10" ht="14.25" customHeight="1">
      <c r="A14" s="8">
        <v>4199</v>
      </c>
      <c r="B14" s="8" t="s">
        <v>58</v>
      </c>
      <c r="C14" s="8" t="s">
        <v>35</v>
      </c>
      <c r="D14" s="8" t="s">
        <v>36</v>
      </c>
      <c r="E14" s="8" t="s">
        <v>30</v>
      </c>
      <c r="F14" s="8">
        <v>184</v>
      </c>
      <c r="H14" s="8">
        <v>57.11</v>
      </c>
      <c r="I14" s="8">
        <v>8.8000000000000007</v>
      </c>
      <c r="J14" s="8">
        <v>10</v>
      </c>
    </row>
    <row r="15" spans="1:10" ht="14.25" customHeight="1">
      <c r="A15" s="8">
        <v>4191</v>
      </c>
      <c r="B15" s="8" t="s">
        <v>55</v>
      </c>
      <c r="C15" s="8" t="s">
        <v>52</v>
      </c>
      <c r="D15" s="8" t="s">
        <v>41</v>
      </c>
      <c r="E15" s="8" t="s">
        <v>38</v>
      </c>
      <c r="F15" s="8">
        <v>167</v>
      </c>
      <c r="G15" s="8">
        <v>16</v>
      </c>
      <c r="H15" s="8">
        <v>81.819999999999993</v>
      </c>
      <c r="I15" s="8">
        <v>8.1999999999999993</v>
      </c>
      <c r="J15" s="8">
        <v>7</v>
      </c>
    </row>
    <row r="16" spans="1:10" ht="14.25" customHeight="1">
      <c r="A16" s="8">
        <v>4159</v>
      </c>
      <c r="B16" s="8" t="s">
        <v>34</v>
      </c>
      <c r="C16" s="8" t="s">
        <v>45</v>
      </c>
      <c r="D16" s="8" t="s">
        <v>29</v>
      </c>
      <c r="E16" s="8" t="s">
        <v>53</v>
      </c>
      <c r="F16" s="8">
        <v>141</v>
      </c>
      <c r="G16" s="8">
        <v>5.3</v>
      </c>
      <c r="H16" s="8">
        <v>30.94</v>
      </c>
      <c r="I16" s="8">
        <v>8.3000000000000007</v>
      </c>
      <c r="J16" s="8">
        <v>13</v>
      </c>
    </row>
    <row r="17" spans="1:10" ht="14.25" customHeight="1">
      <c r="A17" s="8">
        <v>4136</v>
      </c>
      <c r="B17" s="8" t="s">
        <v>58</v>
      </c>
      <c r="C17" s="8" t="s">
        <v>45</v>
      </c>
      <c r="D17" s="8" t="s">
        <v>36</v>
      </c>
      <c r="E17" s="8" t="s">
        <v>30</v>
      </c>
      <c r="F17" s="8">
        <v>123</v>
      </c>
      <c r="G17" s="8">
        <v>1.5</v>
      </c>
      <c r="H17" s="8">
        <v>32.86</v>
      </c>
      <c r="I17" s="8">
        <v>8.1</v>
      </c>
      <c r="J17" s="8">
        <v>10</v>
      </c>
    </row>
    <row r="18" spans="1:10" ht="14.25" customHeight="1">
      <c r="A18" s="8">
        <v>4178</v>
      </c>
      <c r="B18" s="8" t="s">
        <v>40</v>
      </c>
      <c r="C18" s="8" t="s">
        <v>28</v>
      </c>
      <c r="D18" s="8" t="s">
        <v>41</v>
      </c>
      <c r="E18" s="8" t="s">
        <v>49</v>
      </c>
      <c r="F18" s="8">
        <v>221</v>
      </c>
      <c r="G18" s="8">
        <v>11.5</v>
      </c>
      <c r="H18" s="8">
        <v>66.83</v>
      </c>
      <c r="I18" s="8">
        <v>6.8</v>
      </c>
      <c r="J18" s="8">
        <v>12</v>
      </c>
    </row>
    <row r="19" spans="1:10" ht="14.25" customHeight="1">
      <c r="A19" s="8">
        <v>4241</v>
      </c>
      <c r="B19" s="8" t="s">
        <v>40</v>
      </c>
      <c r="C19" s="8" t="s">
        <v>59</v>
      </c>
      <c r="D19" s="8" t="s">
        <v>41</v>
      </c>
      <c r="E19" s="8" t="s">
        <v>49</v>
      </c>
      <c r="F19" s="8">
        <v>234</v>
      </c>
      <c r="G19" s="8">
        <v>12.6</v>
      </c>
      <c r="H19" s="8">
        <v>100.71</v>
      </c>
      <c r="I19" s="8">
        <v>7.3</v>
      </c>
      <c r="J19" s="8">
        <v>17</v>
      </c>
    </row>
    <row r="20" spans="1:10" ht="14.25" customHeight="1">
      <c r="A20" s="8">
        <v>4304</v>
      </c>
      <c r="B20" s="8" t="s">
        <v>55</v>
      </c>
      <c r="C20" s="8" t="s">
        <v>52</v>
      </c>
      <c r="D20" s="8" t="s">
        <v>36</v>
      </c>
      <c r="E20" s="8" t="s">
        <v>38</v>
      </c>
      <c r="F20" s="8">
        <v>98</v>
      </c>
      <c r="G20" s="8">
        <v>2.4</v>
      </c>
      <c r="H20" s="8">
        <v>54.65</v>
      </c>
      <c r="I20" s="8">
        <v>8.8000000000000007</v>
      </c>
      <c r="J20" s="8">
        <v>11</v>
      </c>
    </row>
    <row r="21" spans="1:10" ht="14.25" customHeight="1">
      <c r="A21" s="8">
        <v>4122</v>
      </c>
      <c r="B21" s="8" t="s">
        <v>34</v>
      </c>
      <c r="C21" s="8" t="s">
        <v>45</v>
      </c>
      <c r="D21" s="8" t="s">
        <v>47</v>
      </c>
      <c r="E21" s="8" t="s">
        <v>30</v>
      </c>
      <c r="F21" s="8">
        <v>84</v>
      </c>
      <c r="G21" s="8">
        <v>3.9</v>
      </c>
      <c r="H21" s="8">
        <v>41.26</v>
      </c>
      <c r="I21" s="8">
        <v>9.6</v>
      </c>
      <c r="J21" s="8">
        <v>2</v>
      </c>
    </row>
    <row r="22" spans="1:10" ht="14.25" customHeight="1">
      <c r="A22" s="8">
        <v>4044</v>
      </c>
      <c r="B22" s="8" t="s">
        <v>55</v>
      </c>
      <c r="C22" s="8" t="s">
        <v>35</v>
      </c>
      <c r="D22" s="8" t="s">
        <v>36</v>
      </c>
      <c r="E22" s="8" t="s">
        <v>53</v>
      </c>
      <c r="F22" s="8">
        <v>122</v>
      </c>
      <c r="G22" s="8">
        <v>4</v>
      </c>
      <c r="H22" s="8">
        <v>34.46</v>
      </c>
      <c r="I22" s="8">
        <v>8.9</v>
      </c>
      <c r="J22" s="8">
        <v>6</v>
      </c>
    </row>
    <row r="23" spans="1:10" ht="14.25" customHeight="1">
      <c r="A23" s="8">
        <v>4227</v>
      </c>
      <c r="B23" s="8" t="s">
        <v>60</v>
      </c>
      <c r="C23" s="8" t="s">
        <v>45</v>
      </c>
      <c r="D23" s="8" t="s">
        <v>47</v>
      </c>
      <c r="E23" s="8" t="s">
        <v>49</v>
      </c>
      <c r="F23" s="8">
        <v>63</v>
      </c>
      <c r="G23" s="8">
        <v>3.1</v>
      </c>
      <c r="H23" s="8">
        <v>27.4</v>
      </c>
      <c r="I23" s="8">
        <v>7.9</v>
      </c>
      <c r="J23" s="8">
        <v>10</v>
      </c>
    </row>
    <row r="24" spans="1:10" ht="14.25" customHeight="1">
      <c r="A24" s="8">
        <v>4283</v>
      </c>
      <c r="B24" s="8" t="s">
        <v>60</v>
      </c>
      <c r="C24" s="8" t="s">
        <v>45</v>
      </c>
      <c r="D24" s="8" t="s">
        <v>47</v>
      </c>
      <c r="E24" s="8" t="s">
        <v>30</v>
      </c>
      <c r="F24" s="8">
        <v>152</v>
      </c>
      <c r="G24" s="8">
        <v>1.9</v>
      </c>
      <c r="H24" s="8">
        <v>58.74</v>
      </c>
      <c r="I24" s="8">
        <v>8.6</v>
      </c>
      <c r="J24" s="8">
        <v>11</v>
      </c>
    </row>
    <row r="25" spans="1:10" ht="14.25" customHeight="1">
      <c r="A25" s="8">
        <v>4061</v>
      </c>
      <c r="B25" s="8" t="s">
        <v>27</v>
      </c>
      <c r="C25" s="8" t="s">
        <v>35</v>
      </c>
      <c r="D25" s="8" t="s">
        <v>36</v>
      </c>
      <c r="E25" s="8" t="s">
        <v>53</v>
      </c>
      <c r="F25" s="8">
        <v>221</v>
      </c>
      <c r="G25" s="8">
        <v>1.8</v>
      </c>
      <c r="I25" s="8">
        <v>6.8</v>
      </c>
      <c r="J25" s="8">
        <v>7</v>
      </c>
    </row>
    <row r="26" spans="1:10" ht="14.25" customHeight="1">
      <c r="A26" s="8">
        <v>4260</v>
      </c>
      <c r="B26" s="8" t="s">
        <v>27</v>
      </c>
      <c r="C26" s="8" t="s">
        <v>35</v>
      </c>
      <c r="D26" s="8" t="s">
        <v>36</v>
      </c>
      <c r="E26" s="8" t="s">
        <v>49</v>
      </c>
      <c r="F26" s="8">
        <v>93</v>
      </c>
      <c r="G26" s="8">
        <v>3</v>
      </c>
      <c r="H26" s="8">
        <v>36.49</v>
      </c>
      <c r="I26" s="8">
        <v>6.7</v>
      </c>
      <c r="J26" s="8">
        <v>0</v>
      </c>
    </row>
    <row r="27" spans="1:10" ht="14.25" customHeight="1">
      <c r="A27" s="8">
        <v>4097</v>
      </c>
      <c r="B27" s="8" t="s">
        <v>27</v>
      </c>
      <c r="C27" s="8" t="s">
        <v>35</v>
      </c>
      <c r="D27" s="8" t="s">
        <v>29</v>
      </c>
      <c r="E27" s="8" t="s">
        <v>53</v>
      </c>
      <c r="F27" s="8">
        <v>141</v>
      </c>
      <c r="G27" s="8">
        <v>7.3</v>
      </c>
      <c r="H27" s="8">
        <v>63.78</v>
      </c>
      <c r="I27" s="8">
        <v>8.9</v>
      </c>
      <c r="J27" s="8">
        <v>1</v>
      </c>
    </row>
    <row r="28" spans="1:10" ht="14.25" customHeight="1">
      <c r="A28" s="8">
        <v>4099</v>
      </c>
      <c r="B28" s="8" t="s">
        <v>27</v>
      </c>
      <c r="C28" s="8" t="s">
        <v>45</v>
      </c>
      <c r="D28" s="8" t="s">
        <v>41</v>
      </c>
      <c r="E28" s="8" t="s">
        <v>30</v>
      </c>
      <c r="F28" s="8">
        <v>119</v>
      </c>
      <c r="G28" s="8">
        <v>13.9</v>
      </c>
      <c r="H28" s="8">
        <v>30.52</v>
      </c>
      <c r="I28" s="8">
        <v>8.4</v>
      </c>
      <c r="J28" s="8">
        <v>7</v>
      </c>
    </row>
    <row r="29" spans="1:10" ht="14.25" customHeight="1">
      <c r="A29" s="8">
        <v>4088</v>
      </c>
      <c r="B29" s="8" t="s">
        <v>34</v>
      </c>
      <c r="C29" s="8" t="s">
        <v>28</v>
      </c>
      <c r="D29" s="8" t="s">
        <v>29</v>
      </c>
      <c r="E29" s="8" t="s">
        <v>53</v>
      </c>
      <c r="F29" s="8">
        <v>165</v>
      </c>
      <c r="G29" s="8">
        <v>7.7</v>
      </c>
      <c r="H29" s="8">
        <v>57.54</v>
      </c>
      <c r="I29" s="8">
        <v>8.6</v>
      </c>
      <c r="J29" s="8">
        <v>8</v>
      </c>
    </row>
    <row r="30" spans="1:10" ht="14.25" customHeight="1">
      <c r="A30" s="8">
        <v>4003</v>
      </c>
      <c r="B30" s="8" t="s">
        <v>60</v>
      </c>
      <c r="C30" s="8" t="s">
        <v>45</v>
      </c>
      <c r="D30" s="8" t="s">
        <v>29</v>
      </c>
      <c r="E30" s="8" t="s">
        <v>38</v>
      </c>
      <c r="F30" s="8">
        <v>158</v>
      </c>
      <c r="G30" s="8">
        <v>6.9</v>
      </c>
      <c r="H30" s="8">
        <v>77.27</v>
      </c>
      <c r="I30" s="8">
        <v>8.5</v>
      </c>
      <c r="J30" s="8">
        <v>12</v>
      </c>
    </row>
    <row r="31" spans="1:10" ht="14.25" customHeight="1">
      <c r="A31" s="8">
        <v>4163</v>
      </c>
      <c r="B31" s="8" t="s">
        <v>34</v>
      </c>
      <c r="C31" s="8" t="s">
        <v>59</v>
      </c>
      <c r="D31" s="8" t="s">
        <v>47</v>
      </c>
      <c r="E31" s="8" t="s">
        <v>30</v>
      </c>
      <c r="F31" s="8">
        <v>169</v>
      </c>
      <c r="G31" s="8">
        <v>2.5</v>
      </c>
      <c r="H31" s="8">
        <v>82.61</v>
      </c>
      <c r="I31" s="8">
        <v>8.4</v>
      </c>
      <c r="J31" s="8">
        <v>6</v>
      </c>
    </row>
    <row r="32" spans="1:10" ht="14.25" customHeight="1">
      <c r="A32" s="8">
        <v>4328</v>
      </c>
      <c r="B32" s="8" t="s">
        <v>60</v>
      </c>
      <c r="C32" s="8" t="s">
        <v>59</v>
      </c>
      <c r="D32" s="8" t="s">
        <v>29</v>
      </c>
      <c r="E32" s="8" t="s">
        <v>53</v>
      </c>
      <c r="F32" s="8">
        <v>106</v>
      </c>
      <c r="G32" s="8">
        <v>6</v>
      </c>
      <c r="H32" s="8">
        <v>52.99</v>
      </c>
      <c r="I32" s="8">
        <v>8.1999999999999993</v>
      </c>
      <c r="J32" s="8">
        <v>7</v>
      </c>
    </row>
    <row r="33" spans="1:10" ht="14.25" customHeight="1">
      <c r="A33" s="8">
        <v>4306</v>
      </c>
      <c r="B33" s="8" t="s">
        <v>61</v>
      </c>
      <c r="C33" s="8" t="s">
        <v>59</v>
      </c>
      <c r="D33" s="8" t="s">
        <v>47</v>
      </c>
      <c r="E33" s="8" t="s">
        <v>30</v>
      </c>
      <c r="F33" s="8">
        <v>153</v>
      </c>
      <c r="G33" s="8">
        <v>4.2</v>
      </c>
      <c r="H33" s="8">
        <v>78.63</v>
      </c>
      <c r="I33" s="8">
        <v>9</v>
      </c>
      <c r="J33" s="8">
        <v>14</v>
      </c>
    </row>
    <row r="34" spans="1:10" ht="14.25" customHeight="1">
      <c r="A34" s="8">
        <v>4269</v>
      </c>
      <c r="B34" s="8" t="s">
        <v>34</v>
      </c>
      <c r="C34" s="8" t="s">
        <v>35</v>
      </c>
      <c r="D34" s="8" t="s">
        <v>36</v>
      </c>
      <c r="E34" s="8" t="s">
        <v>38</v>
      </c>
      <c r="F34" s="8">
        <v>174</v>
      </c>
      <c r="G34" s="8">
        <v>4.4000000000000004</v>
      </c>
      <c r="H34" s="8">
        <v>76.25</v>
      </c>
      <c r="I34" s="8">
        <v>9.1</v>
      </c>
      <c r="J34" s="8">
        <v>4</v>
      </c>
    </row>
    <row r="35" spans="1:10" ht="14.25" customHeight="1">
      <c r="A35" s="8">
        <v>4008</v>
      </c>
      <c r="B35" s="8" t="s">
        <v>58</v>
      </c>
      <c r="C35" s="8" t="s">
        <v>59</v>
      </c>
      <c r="D35" s="8" t="s">
        <v>47</v>
      </c>
      <c r="E35" s="8" t="s">
        <v>49</v>
      </c>
      <c r="F35" s="8">
        <v>95</v>
      </c>
      <c r="G35" s="8">
        <v>-2.8</v>
      </c>
      <c r="H35" s="8">
        <v>17.75</v>
      </c>
      <c r="I35" s="8">
        <v>7.6</v>
      </c>
      <c r="J35" s="8">
        <v>0</v>
      </c>
    </row>
    <row r="36" spans="1:10" ht="14.25" customHeight="1">
      <c r="A36" s="8">
        <v>4148</v>
      </c>
      <c r="B36" s="8" t="s">
        <v>34</v>
      </c>
      <c r="C36" s="8" t="s">
        <v>35</v>
      </c>
      <c r="D36" s="8" t="s">
        <v>36</v>
      </c>
      <c r="E36" s="8" t="s">
        <v>53</v>
      </c>
      <c r="F36" s="8">
        <v>69</v>
      </c>
      <c r="G36" s="8">
        <v>4.0999999999999996</v>
      </c>
      <c r="H36" s="8">
        <v>14.14</v>
      </c>
      <c r="I36" s="8">
        <v>8.3000000000000007</v>
      </c>
      <c r="J36" s="8">
        <v>0</v>
      </c>
    </row>
    <row r="37" spans="1:10" ht="14.25" customHeight="1">
      <c r="A37" s="8">
        <v>4250</v>
      </c>
      <c r="B37" s="8" t="s">
        <v>58</v>
      </c>
      <c r="C37" s="8" t="s">
        <v>45</v>
      </c>
      <c r="D37" s="8" t="s">
        <v>47</v>
      </c>
      <c r="E37" s="8" t="s">
        <v>30</v>
      </c>
      <c r="F37" s="8">
        <v>138</v>
      </c>
      <c r="G37" s="8">
        <v>2.4</v>
      </c>
      <c r="H37" s="8">
        <v>74.540000000000006</v>
      </c>
      <c r="I37" s="8">
        <v>9.1999999999999993</v>
      </c>
      <c r="J37" s="8">
        <v>13</v>
      </c>
    </row>
    <row r="38" spans="1:10" ht="14.25" customHeight="1">
      <c r="A38" s="8">
        <v>4028</v>
      </c>
      <c r="B38" s="8" t="s">
        <v>60</v>
      </c>
      <c r="C38" s="8" t="s">
        <v>35</v>
      </c>
      <c r="D38" s="8" t="s">
        <v>41</v>
      </c>
      <c r="E38" s="8" t="s">
        <v>49</v>
      </c>
      <c r="F38" s="8">
        <v>151</v>
      </c>
      <c r="G38" s="8">
        <v>13.8</v>
      </c>
      <c r="H38" s="8">
        <v>50.56</v>
      </c>
      <c r="I38" s="8">
        <v>10</v>
      </c>
      <c r="J38" s="8">
        <v>10</v>
      </c>
    </row>
    <row r="39" spans="1:10" ht="14.25" customHeight="1">
      <c r="A39" s="8">
        <v>4002</v>
      </c>
      <c r="B39" s="8" t="s">
        <v>34</v>
      </c>
      <c r="C39" s="8" t="s">
        <v>35</v>
      </c>
      <c r="D39" s="8" t="s">
        <v>47</v>
      </c>
      <c r="E39" s="8" t="s">
        <v>42</v>
      </c>
      <c r="F39" s="8">
        <v>154</v>
      </c>
      <c r="G39" s="8">
        <v>1.5</v>
      </c>
      <c r="H39" s="8">
        <v>35</v>
      </c>
      <c r="I39" s="8">
        <v>8.1999999999999993</v>
      </c>
      <c r="J39" s="8">
        <v>14</v>
      </c>
    </row>
    <row r="40" spans="1:10" ht="14.25" customHeight="1">
      <c r="A40" s="8">
        <v>4081</v>
      </c>
      <c r="B40" s="8" t="s">
        <v>27</v>
      </c>
      <c r="C40" s="8" t="s">
        <v>52</v>
      </c>
      <c r="D40" s="8" t="s">
        <v>29</v>
      </c>
      <c r="E40" s="8" t="s">
        <v>38</v>
      </c>
      <c r="F40" s="8">
        <v>204</v>
      </c>
      <c r="G40" s="8">
        <v>8</v>
      </c>
      <c r="H40" s="8">
        <v>63.88</v>
      </c>
      <c r="I40" s="8">
        <v>7.7</v>
      </c>
      <c r="J40" s="8">
        <v>6</v>
      </c>
    </row>
    <row r="41" spans="1:10" ht="14.25" customHeight="1">
      <c r="A41" s="8">
        <v>4095</v>
      </c>
      <c r="B41" s="8" t="s">
        <v>34</v>
      </c>
      <c r="C41" s="8" t="s">
        <v>28</v>
      </c>
      <c r="D41" s="8" t="s">
        <v>47</v>
      </c>
      <c r="E41" s="8" t="s">
        <v>53</v>
      </c>
      <c r="F41" s="8">
        <v>122</v>
      </c>
      <c r="G41" s="8">
        <v>3.3</v>
      </c>
      <c r="H41" s="8">
        <v>41.48</v>
      </c>
      <c r="I41" s="8">
        <v>7.2</v>
      </c>
      <c r="J41" s="8">
        <v>5</v>
      </c>
    </row>
    <row r="42" spans="1:10" ht="14.25" customHeight="1">
      <c r="A42" s="8">
        <v>4303</v>
      </c>
      <c r="B42" s="8" t="s">
        <v>27</v>
      </c>
      <c r="C42" s="8" t="s">
        <v>28</v>
      </c>
      <c r="D42" s="8" t="s">
        <v>36</v>
      </c>
      <c r="E42" s="8" t="s">
        <v>49</v>
      </c>
      <c r="F42" s="8">
        <v>191</v>
      </c>
      <c r="G42" s="8">
        <v>2.2000000000000002</v>
      </c>
      <c r="H42" s="8">
        <v>105.07</v>
      </c>
      <c r="I42" s="8">
        <v>6.9</v>
      </c>
      <c r="J42" s="8">
        <v>17</v>
      </c>
    </row>
    <row r="43" spans="1:10" ht="14.25" customHeight="1">
      <c r="A43" s="8">
        <v>4287</v>
      </c>
      <c r="B43" s="8" t="s">
        <v>55</v>
      </c>
      <c r="C43" s="8" t="s">
        <v>45</v>
      </c>
      <c r="D43" s="8" t="s">
        <v>47</v>
      </c>
      <c r="E43" s="8" t="s">
        <v>30</v>
      </c>
      <c r="F43" s="8">
        <v>123</v>
      </c>
      <c r="G43" s="8">
        <v>5.2</v>
      </c>
      <c r="H43" s="8">
        <v>43.04</v>
      </c>
      <c r="I43" s="8">
        <v>7.3</v>
      </c>
      <c r="J43" s="8">
        <v>2</v>
      </c>
    </row>
    <row r="44" spans="1:10" ht="14.25" customHeight="1">
      <c r="A44" s="8">
        <v>4092</v>
      </c>
      <c r="B44" s="8" t="s">
        <v>44</v>
      </c>
      <c r="C44" s="8" t="s">
        <v>45</v>
      </c>
      <c r="D44" s="8" t="s">
        <v>41</v>
      </c>
      <c r="E44" s="8" t="s">
        <v>38</v>
      </c>
      <c r="F44" s="8">
        <v>169</v>
      </c>
      <c r="G44" s="8">
        <v>6.4</v>
      </c>
      <c r="H44" s="8">
        <v>62.92</v>
      </c>
      <c r="I44" s="8">
        <v>7.9</v>
      </c>
      <c r="J44" s="8">
        <v>17</v>
      </c>
    </row>
    <row r="45" spans="1:10" ht="14.25" customHeight="1">
      <c r="A45" s="8">
        <v>4056</v>
      </c>
      <c r="B45" s="8" t="s">
        <v>34</v>
      </c>
      <c r="C45" s="8" t="s">
        <v>45</v>
      </c>
      <c r="D45" s="8" t="s">
        <v>47</v>
      </c>
      <c r="E45" s="8" t="s">
        <v>30</v>
      </c>
      <c r="F45" s="8">
        <v>70</v>
      </c>
      <c r="G45" s="8">
        <v>4</v>
      </c>
      <c r="H45" s="8">
        <v>16.670000000000002</v>
      </c>
      <c r="I45" s="8">
        <v>6.9</v>
      </c>
      <c r="J45" s="8">
        <v>0</v>
      </c>
    </row>
    <row r="46" spans="1:10" ht="14.25" customHeight="1">
      <c r="A46" s="8">
        <v>4037</v>
      </c>
      <c r="B46" s="8" t="s">
        <v>55</v>
      </c>
      <c r="C46" s="8" t="s">
        <v>28</v>
      </c>
      <c r="D46" s="8" t="s">
        <v>47</v>
      </c>
      <c r="E46" s="8" t="s">
        <v>49</v>
      </c>
      <c r="F46" s="8">
        <v>218</v>
      </c>
      <c r="G46" s="8">
        <v>3.2</v>
      </c>
      <c r="H46" s="8">
        <v>111.12</v>
      </c>
      <c r="I46" s="8">
        <v>9</v>
      </c>
      <c r="J46" s="8">
        <v>20</v>
      </c>
    </row>
    <row r="47" spans="1:10" ht="14.25" customHeight="1">
      <c r="A47" s="8">
        <v>4100</v>
      </c>
      <c r="B47" s="8" t="s">
        <v>44</v>
      </c>
      <c r="C47" s="8" t="s">
        <v>52</v>
      </c>
      <c r="D47" s="8" t="s">
        <v>41</v>
      </c>
      <c r="E47" s="8" t="s">
        <v>38</v>
      </c>
      <c r="F47" s="8">
        <v>33</v>
      </c>
      <c r="G47" s="8">
        <v>16.5</v>
      </c>
      <c r="H47" s="8">
        <v>4.78</v>
      </c>
      <c r="I47" s="8">
        <v>8.9</v>
      </c>
      <c r="J47" s="8">
        <v>0</v>
      </c>
    </row>
    <row r="48" spans="1:10" ht="14.25" customHeight="1">
      <c r="A48" s="8">
        <v>4246</v>
      </c>
      <c r="B48" s="8" t="s">
        <v>61</v>
      </c>
      <c r="C48" s="8" t="s">
        <v>35</v>
      </c>
      <c r="D48" s="8" t="s">
        <v>29</v>
      </c>
      <c r="E48" s="8" t="s">
        <v>38</v>
      </c>
      <c r="F48" s="8">
        <v>99</v>
      </c>
      <c r="G48" s="8">
        <v>3</v>
      </c>
      <c r="H48" s="8">
        <v>49.86</v>
      </c>
      <c r="I48" s="8">
        <v>7.3</v>
      </c>
      <c r="J48" s="8">
        <v>4</v>
      </c>
    </row>
    <row r="49" spans="1:10" ht="14.25" customHeight="1">
      <c r="A49" s="8">
        <v>4049</v>
      </c>
      <c r="B49" s="8" t="s">
        <v>44</v>
      </c>
      <c r="C49" s="8" t="s">
        <v>59</v>
      </c>
      <c r="D49" s="8" t="s">
        <v>47</v>
      </c>
      <c r="E49" s="8" t="s">
        <v>38</v>
      </c>
      <c r="F49" s="8">
        <v>178</v>
      </c>
      <c r="G49" s="8">
        <v>5.0999999999999996</v>
      </c>
      <c r="H49" s="8">
        <v>37.450000000000003</v>
      </c>
      <c r="I49" s="8">
        <v>6.9</v>
      </c>
      <c r="J49" s="8">
        <v>6</v>
      </c>
    </row>
    <row r="50" spans="1:10" ht="14.25" customHeight="1">
      <c r="A50" s="8">
        <v>4196</v>
      </c>
      <c r="B50" s="8" t="s">
        <v>44</v>
      </c>
      <c r="C50" s="8" t="s">
        <v>52</v>
      </c>
      <c r="D50" s="8" t="s">
        <v>41</v>
      </c>
      <c r="E50" s="8" t="s">
        <v>30</v>
      </c>
      <c r="F50" s="8">
        <v>192</v>
      </c>
      <c r="G50" s="8">
        <v>14.7</v>
      </c>
      <c r="H50" s="8">
        <v>41.44</v>
      </c>
      <c r="I50" s="8">
        <v>8.6</v>
      </c>
      <c r="J50" s="8">
        <v>16</v>
      </c>
    </row>
    <row r="51" spans="1:10" ht="14.25" customHeight="1">
      <c r="A51" s="8">
        <v>4007</v>
      </c>
      <c r="B51" s="8" t="s">
        <v>58</v>
      </c>
      <c r="C51" s="8" t="s">
        <v>28</v>
      </c>
      <c r="D51" s="8" t="s">
        <v>47</v>
      </c>
      <c r="E51" s="8" t="s">
        <v>38</v>
      </c>
      <c r="F51" s="8">
        <v>147</v>
      </c>
      <c r="G51" s="8">
        <v>2.1</v>
      </c>
      <c r="H51" s="8">
        <v>70.52</v>
      </c>
      <c r="I51" s="8">
        <v>9.4</v>
      </c>
      <c r="J51" s="8">
        <v>4</v>
      </c>
    </row>
    <row r="52" spans="1:10" ht="14.25" customHeight="1">
      <c r="A52" s="8">
        <v>4218</v>
      </c>
      <c r="B52" s="8" t="s">
        <v>58</v>
      </c>
      <c r="C52" s="8" t="s">
        <v>52</v>
      </c>
      <c r="D52" s="8" t="s">
        <v>41</v>
      </c>
      <c r="E52" s="8" t="s">
        <v>53</v>
      </c>
      <c r="F52" s="8">
        <v>206</v>
      </c>
      <c r="G52" s="8">
        <v>12.3</v>
      </c>
      <c r="H52" s="8">
        <v>93.65</v>
      </c>
      <c r="I52" s="8">
        <v>7</v>
      </c>
      <c r="J52" s="8">
        <v>9</v>
      </c>
    </row>
    <row r="53" spans="1:10" ht="14.25" customHeight="1">
      <c r="A53" s="8">
        <v>4063</v>
      </c>
      <c r="B53" s="8" t="s">
        <v>55</v>
      </c>
      <c r="C53" s="8" t="s">
        <v>35</v>
      </c>
      <c r="D53" s="8" t="s">
        <v>29</v>
      </c>
      <c r="E53" s="8" t="s">
        <v>53</v>
      </c>
      <c r="F53" s="8">
        <v>111</v>
      </c>
      <c r="G53" s="8">
        <v>9.1</v>
      </c>
      <c r="H53" s="8">
        <v>53.3</v>
      </c>
      <c r="I53" s="8">
        <v>7.9</v>
      </c>
      <c r="J53" s="8">
        <v>4</v>
      </c>
    </row>
    <row r="54" spans="1:10" ht="14.25" customHeight="1">
      <c r="A54" s="8">
        <v>4110</v>
      </c>
      <c r="B54" s="8" t="s">
        <v>61</v>
      </c>
      <c r="C54" s="8" t="s">
        <v>52</v>
      </c>
      <c r="D54" s="8" t="s">
        <v>29</v>
      </c>
      <c r="E54" s="8" t="s">
        <v>30</v>
      </c>
      <c r="F54" s="8">
        <v>188</v>
      </c>
      <c r="G54" s="8">
        <v>7.6</v>
      </c>
      <c r="H54" s="8">
        <v>82.19</v>
      </c>
      <c r="I54" s="8">
        <v>9.9</v>
      </c>
      <c r="J54" s="8">
        <v>13</v>
      </c>
    </row>
    <row r="55" spans="1:10" ht="14.25" customHeight="1">
      <c r="A55" s="8">
        <v>4130</v>
      </c>
      <c r="B55" s="8" t="s">
        <v>60</v>
      </c>
      <c r="C55" s="8" t="s">
        <v>28</v>
      </c>
      <c r="D55" s="8" t="s">
        <v>47</v>
      </c>
      <c r="E55" s="8" t="s">
        <v>53</v>
      </c>
      <c r="F55" s="8">
        <v>147</v>
      </c>
      <c r="G55" s="8">
        <v>3.3</v>
      </c>
      <c r="H55" s="8">
        <v>49.36</v>
      </c>
      <c r="I55" s="8">
        <v>9.1999999999999993</v>
      </c>
      <c r="J55" s="8">
        <v>10</v>
      </c>
    </row>
    <row r="56" spans="1:10" ht="14.25" customHeight="1">
      <c r="A56" s="8">
        <v>4142</v>
      </c>
      <c r="B56" s="8" t="s">
        <v>40</v>
      </c>
      <c r="C56" s="8" t="s">
        <v>35</v>
      </c>
      <c r="D56" s="8" t="s">
        <v>41</v>
      </c>
      <c r="E56" s="8" t="s">
        <v>30</v>
      </c>
      <c r="F56" s="8">
        <v>63</v>
      </c>
      <c r="G56" s="8">
        <v>9.1999999999999993</v>
      </c>
      <c r="H56" s="8">
        <v>13.07</v>
      </c>
      <c r="I56" s="8">
        <v>7.7</v>
      </c>
      <c r="J56" s="8">
        <v>2</v>
      </c>
    </row>
    <row r="57" spans="1:10" ht="14.25" customHeight="1">
      <c r="A57" s="8">
        <v>4249</v>
      </c>
      <c r="B57" s="8" t="s">
        <v>40</v>
      </c>
      <c r="C57" s="8" t="s">
        <v>45</v>
      </c>
      <c r="D57" s="8" t="s">
        <v>41</v>
      </c>
      <c r="E57" s="8" t="s">
        <v>49</v>
      </c>
      <c r="F57" s="8">
        <v>85</v>
      </c>
      <c r="G57" s="8">
        <v>11.4</v>
      </c>
      <c r="H57" s="8">
        <v>40.770000000000003</v>
      </c>
      <c r="I57" s="8">
        <v>8.3000000000000007</v>
      </c>
      <c r="J57" s="8">
        <v>0</v>
      </c>
    </row>
    <row r="58" spans="1:10" ht="14.25" customHeight="1">
      <c r="A58" s="8">
        <v>4252</v>
      </c>
      <c r="B58" s="8" t="s">
        <v>40</v>
      </c>
      <c r="C58" s="8" t="s">
        <v>59</v>
      </c>
      <c r="D58" s="8" t="s">
        <v>41</v>
      </c>
      <c r="E58" s="8" t="s">
        <v>49</v>
      </c>
      <c r="F58" s="8">
        <v>160</v>
      </c>
      <c r="G58" s="8">
        <v>16</v>
      </c>
      <c r="H58" s="8">
        <v>60.91</v>
      </c>
      <c r="I58" s="8">
        <v>6.4</v>
      </c>
      <c r="J58" s="8">
        <v>10</v>
      </c>
    </row>
    <row r="59" spans="1:10" ht="14.25" customHeight="1">
      <c r="A59" s="8">
        <v>4194</v>
      </c>
      <c r="B59" s="8" t="s">
        <v>44</v>
      </c>
      <c r="C59" s="8" t="s">
        <v>35</v>
      </c>
      <c r="D59" s="8" t="s">
        <v>47</v>
      </c>
      <c r="E59" s="8" t="s">
        <v>53</v>
      </c>
      <c r="F59" s="8">
        <v>159</v>
      </c>
      <c r="G59" s="8">
        <v>3.2</v>
      </c>
      <c r="H59" s="8">
        <v>37.82</v>
      </c>
      <c r="I59" s="8">
        <v>7.9</v>
      </c>
      <c r="J59" s="8">
        <v>6</v>
      </c>
    </row>
    <row r="60" spans="1:10" ht="14.25" customHeight="1">
      <c r="A60" s="8">
        <v>4138</v>
      </c>
      <c r="B60" s="8" t="s">
        <v>27</v>
      </c>
      <c r="C60" s="8" t="s">
        <v>35</v>
      </c>
      <c r="D60" s="8" t="s">
        <v>41</v>
      </c>
      <c r="E60" s="8" t="s">
        <v>49</v>
      </c>
      <c r="F60" s="8">
        <v>193</v>
      </c>
      <c r="G60" s="8">
        <v>15</v>
      </c>
      <c r="H60" s="8">
        <v>101.61</v>
      </c>
      <c r="I60" s="8">
        <v>8.6</v>
      </c>
      <c r="J60" s="8">
        <v>11</v>
      </c>
    </row>
    <row r="61" spans="1:10" ht="14.25" customHeight="1">
      <c r="A61" s="8">
        <v>4325</v>
      </c>
      <c r="B61" s="8" t="s">
        <v>61</v>
      </c>
      <c r="C61" s="8" t="s">
        <v>45</v>
      </c>
      <c r="D61" s="8" t="s">
        <v>36</v>
      </c>
      <c r="E61" s="8" t="s">
        <v>38</v>
      </c>
      <c r="F61" s="8">
        <v>128</v>
      </c>
      <c r="G61" s="8">
        <v>2</v>
      </c>
      <c r="H61" s="8">
        <v>21.6</v>
      </c>
      <c r="I61" s="8">
        <v>5.4</v>
      </c>
      <c r="J61" s="8">
        <v>2</v>
      </c>
    </row>
    <row r="62" spans="1:10" ht="14.25" customHeight="1">
      <c r="A62" s="8">
        <v>4106</v>
      </c>
      <c r="B62" s="8" t="s">
        <v>55</v>
      </c>
      <c r="C62" s="8" t="s">
        <v>59</v>
      </c>
      <c r="D62" s="8" t="s">
        <v>36</v>
      </c>
      <c r="E62" s="8" t="s">
        <v>42</v>
      </c>
      <c r="F62" s="8">
        <v>138</v>
      </c>
      <c r="G62" s="8">
        <v>4.5</v>
      </c>
      <c r="H62" s="8">
        <v>74.12</v>
      </c>
      <c r="I62" s="8">
        <v>7</v>
      </c>
      <c r="J62" s="8">
        <v>2</v>
      </c>
    </row>
    <row r="63" spans="1:10" ht="14.25" customHeight="1">
      <c r="A63" s="8">
        <v>4152</v>
      </c>
      <c r="B63" s="8" t="s">
        <v>34</v>
      </c>
      <c r="C63" s="8" t="s">
        <v>52</v>
      </c>
      <c r="D63" s="8" t="s">
        <v>41</v>
      </c>
      <c r="E63" s="8" t="s">
        <v>49</v>
      </c>
      <c r="F63" s="8">
        <v>202</v>
      </c>
      <c r="G63" s="8">
        <v>12.8</v>
      </c>
      <c r="H63" s="8">
        <v>95.84</v>
      </c>
      <c r="I63" s="8">
        <v>9.5</v>
      </c>
      <c r="J63" s="8">
        <v>8</v>
      </c>
    </row>
    <row r="64" spans="1:10" ht="14.25" customHeight="1">
      <c r="A64" s="8">
        <v>4094</v>
      </c>
      <c r="B64" s="8" t="s">
        <v>60</v>
      </c>
      <c r="C64" s="8" t="s">
        <v>52</v>
      </c>
      <c r="D64" s="8" t="s">
        <v>29</v>
      </c>
      <c r="E64" s="8" t="s">
        <v>49</v>
      </c>
      <c r="F64" s="8">
        <v>7</v>
      </c>
      <c r="G64" s="8">
        <v>8</v>
      </c>
      <c r="H64" s="8">
        <v>5.59</v>
      </c>
      <c r="I64" s="8">
        <v>8.4</v>
      </c>
      <c r="J64" s="8">
        <v>0</v>
      </c>
    </row>
    <row r="65" spans="1:10" ht="14.25" customHeight="1">
      <c r="A65" s="8">
        <v>4033</v>
      </c>
      <c r="B65" s="8" t="s">
        <v>44</v>
      </c>
      <c r="C65" s="8" t="s">
        <v>35</v>
      </c>
      <c r="D65" s="8" t="s">
        <v>29</v>
      </c>
      <c r="E65" s="8" t="s">
        <v>42</v>
      </c>
      <c r="F65" s="8">
        <v>88</v>
      </c>
      <c r="G65" s="8">
        <v>8.8000000000000007</v>
      </c>
      <c r="H65" s="8">
        <v>29.75</v>
      </c>
      <c r="I65" s="8">
        <v>8.5</v>
      </c>
      <c r="J65" s="8">
        <v>2</v>
      </c>
    </row>
    <row r="66" spans="1:10" ht="14.25" customHeight="1">
      <c r="A66" s="8">
        <v>4265</v>
      </c>
      <c r="B66" s="8" t="s">
        <v>27</v>
      </c>
      <c r="C66" s="8" t="s">
        <v>45</v>
      </c>
      <c r="D66" s="8" t="s">
        <v>29</v>
      </c>
      <c r="E66" s="8" t="s">
        <v>53</v>
      </c>
      <c r="F66" s="8">
        <v>269</v>
      </c>
      <c r="G66" s="8">
        <v>5.8</v>
      </c>
      <c r="H66" s="8">
        <v>146.08000000000001</v>
      </c>
      <c r="I66" s="8">
        <v>7.6</v>
      </c>
      <c r="J66" s="8">
        <v>10</v>
      </c>
    </row>
    <row r="67" spans="1:10" ht="14.25" customHeight="1">
      <c r="A67" s="8">
        <v>4087</v>
      </c>
      <c r="B67" s="8" t="s">
        <v>40</v>
      </c>
      <c r="C67" s="8" t="s">
        <v>59</v>
      </c>
      <c r="D67" s="8" t="s">
        <v>47</v>
      </c>
      <c r="E67" s="8" t="s">
        <v>53</v>
      </c>
      <c r="F67" s="8">
        <v>89</v>
      </c>
      <c r="G67" s="8">
        <v>3.6</v>
      </c>
      <c r="H67" s="8">
        <v>59.29</v>
      </c>
      <c r="I67" s="8">
        <v>6</v>
      </c>
      <c r="J67" s="8">
        <v>5</v>
      </c>
    </row>
    <row r="68" spans="1:10" ht="14.25" customHeight="1">
      <c r="A68" s="8">
        <v>4298</v>
      </c>
      <c r="B68" s="8" t="s">
        <v>27</v>
      </c>
      <c r="C68" s="8" t="s">
        <v>35</v>
      </c>
      <c r="D68" s="8" t="s">
        <v>41</v>
      </c>
      <c r="E68" s="8" t="s">
        <v>53</v>
      </c>
      <c r="F68" s="8">
        <v>153</v>
      </c>
      <c r="G68" s="8">
        <v>12.1</v>
      </c>
      <c r="H68" s="8">
        <v>22.49</v>
      </c>
      <c r="I68" s="8">
        <v>8.1999999999999993</v>
      </c>
      <c r="J68" s="8">
        <v>10</v>
      </c>
    </row>
    <row r="69" spans="1:10" ht="14.25" customHeight="1">
      <c r="A69" s="8">
        <v>4117</v>
      </c>
      <c r="B69" s="8" t="s">
        <v>27</v>
      </c>
      <c r="C69" s="8" t="s">
        <v>45</v>
      </c>
      <c r="D69" s="8" t="s">
        <v>29</v>
      </c>
      <c r="E69" s="8" t="s">
        <v>42</v>
      </c>
      <c r="F69" s="8">
        <v>230</v>
      </c>
      <c r="G69" s="8">
        <v>5.0999999999999996</v>
      </c>
      <c r="H69" s="8">
        <v>58.59</v>
      </c>
      <c r="I69" s="8">
        <v>7.8</v>
      </c>
      <c r="J69" s="8">
        <v>9</v>
      </c>
    </row>
    <row r="70" spans="1:10" ht="14.25" customHeight="1">
      <c r="A70" s="8">
        <v>4042</v>
      </c>
      <c r="B70" s="8" t="s">
        <v>44</v>
      </c>
      <c r="C70" s="8" t="s">
        <v>35</v>
      </c>
      <c r="D70" s="8" t="s">
        <v>29</v>
      </c>
      <c r="E70" s="8" t="s">
        <v>49</v>
      </c>
      <c r="F70" s="8">
        <v>182</v>
      </c>
      <c r="G70" s="8">
        <v>12.7</v>
      </c>
      <c r="H70" s="8">
        <v>27.26</v>
      </c>
      <c r="I70" s="8">
        <v>6.5</v>
      </c>
      <c r="J70" s="8">
        <v>5</v>
      </c>
    </row>
    <row r="71" spans="1:10" ht="14.25" customHeight="1">
      <c r="A71" s="8">
        <v>4016</v>
      </c>
      <c r="B71" s="8" t="s">
        <v>58</v>
      </c>
      <c r="C71" s="8" t="s">
        <v>28</v>
      </c>
      <c r="D71" s="8" t="s">
        <v>36</v>
      </c>
      <c r="E71" s="8" t="s">
        <v>38</v>
      </c>
      <c r="F71" s="8">
        <v>152</v>
      </c>
      <c r="G71" s="8">
        <v>4</v>
      </c>
      <c r="H71" s="8">
        <v>74.36</v>
      </c>
      <c r="I71" s="8">
        <v>6.5</v>
      </c>
      <c r="J71" s="8">
        <v>9</v>
      </c>
    </row>
    <row r="72" spans="1:10" ht="14.25" customHeight="1">
      <c r="A72" s="8">
        <v>4069</v>
      </c>
      <c r="B72" s="8" t="s">
        <v>58</v>
      </c>
      <c r="C72" s="8" t="s">
        <v>59</v>
      </c>
      <c r="D72" s="8" t="s">
        <v>47</v>
      </c>
      <c r="E72" s="8" t="s">
        <v>53</v>
      </c>
      <c r="F72" s="8">
        <v>264</v>
      </c>
      <c r="G72" s="8">
        <v>2.5</v>
      </c>
      <c r="H72" s="8">
        <v>89.99</v>
      </c>
      <c r="I72" s="8">
        <v>8.1999999999999993</v>
      </c>
      <c r="J72" s="8">
        <v>16</v>
      </c>
    </row>
    <row r="73" spans="1:10" ht="14.25" customHeight="1">
      <c r="A73" s="8">
        <v>4204</v>
      </c>
      <c r="B73" s="8" t="s">
        <v>61</v>
      </c>
      <c r="C73" s="8" t="s">
        <v>59</v>
      </c>
      <c r="D73" s="8" t="s">
        <v>29</v>
      </c>
      <c r="E73" s="8" t="s">
        <v>53</v>
      </c>
      <c r="F73" s="8">
        <v>160</v>
      </c>
      <c r="G73" s="8">
        <v>2.6</v>
      </c>
      <c r="H73" s="8">
        <v>26.69</v>
      </c>
      <c r="I73" s="8">
        <v>9.5</v>
      </c>
      <c r="J73" s="8">
        <v>15</v>
      </c>
    </row>
    <row r="74" spans="1:10" ht="14.25" customHeight="1">
      <c r="A74" s="8">
        <v>4256</v>
      </c>
      <c r="B74" s="8" t="s">
        <v>34</v>
      </c>
      <c r="C74" s="8" t="s">
        <v>35</v>
      </c>
      <c r="D74" s="8" t="s">
        <v>36</v>
      </c>
      <c r="E74" s="8" t="s">
        <v>53</v>
      </c>
      <c r="F74" s="8">
        <v>77</v>
      </c>
      <c r="G74" s="8">
        <v>2.1</v>
      </c>
      <c r="H74" s="8">
        <v>17.66</v>
      </c>
      <c r="I74" s="8">
        <v>8.1</v>
      </c>
      <c r="J74" s="8">
        <v>4</v>
      </c>
    </row>
    <row r="75" spans="1:10" ht="14.25" customHeight="1">
      <c r="A75" s="8">
        <v>4079</v>
      </c>
      <c r="B75" s="8" t="s">
        <v>27</v>
      </c>
      <c r="C75" s="8" t="s">
        <v>35</v>
      </c>
      <c r="D75" s="8" t="s">
        <v>41</v>
      </c>
      <c r="E75" s="8" t="s">
        <v>42</v>
      </c>
      <c r="F75" s="8">
        <v>139</v>
      </c>
      <c r="G75" s="8">
        <v>11</v>
      </c>
      <c r="H75" s="8">
        <v>54.29</v>
      </c>
      <c r="I75" s="8">
        <v>8.6999999999999993</v>
      </c>
      <c r="J75" s="8">
        <v>7</v>
      </c>
    </row>
    <row r="76" spans="1:10" ht="14.25" customHeight="1">
      <c r="A76" s="8">
        <v>4263</v>
      </c>
      <c r="B76" s="8" t="s">
        <v>60</v>
      </c>
      <c r="C76" s="8" t="s">
        <v>45</v>
      </c>
      <c r="D76" s="8" t="s">
        <v>29</v>
      </c>
      <c r="E76" s="8" t="s">
        <v>30</v>
      </c>
      <c r="F76" s="8">
        <v>121</v>
      </c>
      <c r="G76" s="8">
        <v>11.3</v>
      </c>
      <c r="H76" s="8">
        <v>39.06</v>
      </c>
      <c r="I76" s="8">
        <v>8.4</v>
      </c>
      <c r="J76" s="8">
        <v>1</v>
      </c>
    </row>
    <row r="77" spans="1:10" ht="14.25" customHeight="1">
      <c r="A77" s="8">
        <v>4031</v>
      </c>
      <c r="B77" s="8" t="s">
        <v>27</v>
      </c>
      <c r="C77" s="8" t="s">
        <v>59</v>
      </c>
      <c r="D77" s="8" t="s">
        <v>41</v>
      </c>
      <c r="E77" s="8" t="s">
        <v>53</v>
      </c>
      <c r="F77" s="8">
        <v>220</v>
      </c>
      <c r="G77" s="8">
        <v>14.6</v>
      </c>
      <c r="H77" s="8">
        <v>104.3</v>
      </c>
      <c r="I77" s="8">
        <v>7.7</v>
      </c>
      <c r="J77" s="8">
        <v>11</v>
      </c>
    </row>
    <row r="78" spans="1:10" ht="14.25" customHeight="1">
      <c r="A78" s="8">
        <v>4014</v>
      </c>
      <c r="B78" s="8" t="s">
        <v>27</v>
      </c>
      <c r="C78" s="8" t="s">
        <v>45</v>
      </c>
      <c r="D78" s="8" t="s">
        <v>47</v>
      </c>
      <c r="E78" s="8" t="s">
        <v>38</v>
      </c>
      <c r="F78" s="8">
        <v>174</v>
      </c>
      <c r="G78" s="8">
        <v>4.9000000000000004</v>
      </c>
      <c r="H78" s="8">
        <v>33.17</v>
      </c>
      <c r="I78" s="8">
        <v>7.9</v>
      </c>
      <c r="J78" s="8">
        <v>11</v>
      </c>
    </row>
    <row r="79" spans="1:10" ht="14.25" customHeight="1">
      <c r="A79" s="8">
        <v>4180</v>
      </c>
      <c r="B79" s="8" t="s">
        <v>44</v>
      </c>
      <c r="C79" s="8" t="s">
        <v>59</v>
      </c>
      <c r="D79" s="8" t="s">
        <v>41</v>
      </c>
      <c r="E79" s="8" t="s">
        <v>49</v>
      </c>
      <c r="F79" s="8">
        <v>119</v>
      </c>
      <c r="G79" s="8">
        <v>8.6</v>
      </c>
      <c r="H79" s="8">
        <v>41.9</v>
      </c>
      <c r="I79" s="8">
        <v>7.4</v>
      </c>
      <c r="J79" s="8">
        <v>6</v>
      </c>
    </row>
    <row r="80" spans="1:10" ht="14.25" customHeight="1">
      <c r="A80" s="8">
        <v>4034</v>
      </c>
      <c r="B80" s="8" t="s">
        <v>60</v>
      </c>
      <c r="C80" s="8" t="s">
        <v>28</v>
      </c>
      <c r="D80" s="8" t="s">
        <v>36</v>
      </c>
      <c r="E80" s="8" t="s">
        <v>42</v>
      </c>
      <c r="F80" s="8">
        <v>196</v>
      </c>
      <c r="G80" s="8">
        <v>2.1</v>
      </c>
      <c r="H80" s="8">
        <v>30.23</v>
      </c>
      <c r="I80" s="8">
        <v>9.8000000000000007</v>
      </c>
      <c r="J80" s="8">
        <v>11</v>
      </c>
    </row>
    <row r="81" spans="1:10" ht="14.25" customHeight="1">
      <c r="A81" s="8">
        <v>4020</v>
      </c>
      <c r="B81" s="8" t="s">
        <v>27</v>
      </c>
      <c r="C81" s="8" t="s">
        <v>28</v>
      </c>
      <c r="D81" s="8" t="s">
        <v>36</v>
      </c>
      <c r="E81" s="8" t="s">
        <v>49</v>
      </c>
      <c r="F81" s="8">
        <v>146</v>
      </c>
      <c r="G81" s="8">
        <v>3.4</v>
      </c>
      <c r="H81" s="8">
        <v>50.48</v>
      </c>
      <c r="I81" s="8">
        <v>7.4</v>
      </c>
      <c r="J81" s="8">
        <v>12</v>
      </c>
    </row>
    <row r="82" spans="1:10" ht="14.25" customHeight="1">
      <c r="A82" s="8">
        <v>4118</v>
      </c>
      <c r="B82" s="8" t="s">
        <v>44</v>
      </c>
      <c r="C82" s="8" t="s">
        <v>35</v>
      </c>
      <c r="D82" s="8" t="s">
        <v>47</v>
      </c>
      <c r="E82" s="8" t="s">
        <v>38</v>
      </c>
      <c r="F82" s="8">
        <v>127</v>
      </c>
      <c r="G82" s="8">
        <v>5.9</v>
      </c>
      <c r="H82" s="8">
        <v>67.34</v>
      </c>
      <c r="I82" s="8">
        <v>8.4</v>
      </c>
      <c r="J82" s="8">
        <v>9</v>
      </c>
    </row>
    <row r="83" spans="1:10" ht="14.25" customHeight="1">
      <c r="A83" s="8">
        <v>4127</v>
      </c>
      <c r="B83" s="8" t="s">
        <v>34</v>
      </c>
      <c r="C83" s="8" t="s">
        <v>28</v>
      </c>
      <c r="D83" s="8" t="s">
        <v>47</v>
      </c>
      <c r="E83" s="8" t="s">
        <v>30</v>
      </c>
      <c r="F83" s="8">
        <v>148</v>
      </c>
      <c r="G83" s="8">
        <v>4.7</v>
      </c>
      <c r="H83" s="8">
        <v>29.5</v>
      </c>
      <c r="I83" s="8">
        <v>6.5</v>
      </c>
      <c r="J83" s="8">
        <v>3</v>
      </c>
    </row>
    <row r="84" spans="1:10" ht="14.25" customHeight="1">
      <c r="A84" s="8">
        <v>4230</v>
      </c>
      <c r="B84" s="8" t="s">
        <v>58</v>
      </c>
      <c r="C84" s="8" t="s">
        <v>28</v>
      </c>
      <c r="D84" s="8" t="s">
        <v>29</v>
      </c>
      <c r="E84" s="8" t="s">
        <v>38</v>
      </c>
      <c r="F84" s="8">
        <v>144</v>
      </c>
      <c r="G84" s="8">
        <v>4.3</v>
      </c>
      <c r="H84" s="8">
        <v>48.79</v>
      </c>
      <c r="I84" s="8">
        <v>8.5</v>
      </c>
      <c r="J84" s="8">
        <v>10</v>
      </c>
    </row>
    <row r="85" spans="1:10" ht="14.25" customHeight="1">
      <c r="A85" s="8">
        <v>4307</v>
      </c>
      <c r="B85" s="8" t="s">
        <v>34</v>
      </c>
      <c r="C85" s="8" t="s">
        <v>35</v>
      </c>
      <c r="D85" s="8" t="s">
        <v>29</v>
      </c>
      <c r="E85" s="8" t="s">
        <v>53</v>
      </c>
      <c r="F85" s="8">
        <v>186</v>
      </c>
      <c r="G85" s="8">
        <v>8.5</v>
      </c>
      <c r="H85" s="8">
        <v>94.07</v>
      </c>
      <c r="I85" s="8">
        <v>6</v>
      </c>
      <c r="J85" s="8">
        <v>12</v>
      </c>
    </row>
    <row r="86" spans="1:10" ht="14.25" customHeight="1">
      <c r="A86" s="8">
        <v>4012</v>
      </c>
      <c r="B86" s="8" t="s">
        <v>61</v>
      </c>
      <c r="C86" s="8" t="s">
        <v>52</v>
      </c>
      <c r="D86" s="8" t="s">
        <v>47</v>
      </c>
      <c r="E86" s="8" t="s">
        <v>30</v>
      </c>
      <c r="F86" s="8">
        <v>147</v>
      </c>
      <c r="G86" s="8">
        <v>2.7</v>
      </c>
      <c r="H86" s="8">
        <v>57.69</v>
      </c>
      <c r="I86" s="8">
        <v>9.5</v>
      </c>
      <c r="J86" s="8">
        <v>7</v>
      </c>
    </row>
    <row r="87" spans="1:10" ht="14.25" customHeight="1">
      <c r="A87" s="8">
        <v>4022</v>
      </c>
      <c r="B87" s="8" t="s">
        <v>27</v>
      </c>
      <c r="C87" s="8" t="s">
        <v>59</v>
      </c>
      <c r="D87" s="8" t="s">
        <v>29</v>
      </c>
      <c r="E87" s="8" t="s">
        <v>53</v>
      </c>
      <c r="F87" s="8">
        <v>98</v>
      </c>
      <c r="G87" s="8">
        <v>1.1000000000000001</v>
      </c>
      <c r="H87" s="8">
        <v>50.15</v>
      </c>
      <c r="I87" s="8">
        <v>8.3000000000000007</v>
      </c>
      <c r="J87" s="8">
        <v>7</v>
      </c>
    </row>
    <row r="88" spans="1:10" ht="14.25" customHeight="1">
      <c r="A88" s="8">
        <v>4123</v>
      </c>
      <c r="B88" s="8" t="s">
        <v>27</v>
      </c>
      <c r="C88" s="8" t="s">
        <v>35</v>
      </c>
      <c r="D88" s="8" t="s">
        <v>29</v>
      </c>
      <c r="E88" s="8" t="s">
        <v>49</v>
      </c>
      <c r="F88" s="8">
        <v>92</v>
      </c>
      <c r="G88" s="8">
        <v>5.3</v>
      </c>
      <c r="H88" s="8">
        <v>57.61</v>
      </c>
      <c r="I88" s="8">
        <v>6.7</v>
      </c>
      <c r="J88" s="8">
        <v>8</v>
      </c>
    </row>
    <row r="89" spans="1:10" ht="14.25" customHeight="1">
      <c r="A89" s="8">
        <v>4193</v>
      </c>
      <c r="B89" s="8" t="s">
        <v>55</v>
      </c>
      <c r="C89" s="8" t="s">
        <v>45</v>
      </c>
      <c r="D89" s="8" t="s">
        <v>47</v>
      </c>
      <c r="E89" s="8" t="s">
        <v>30</v>
      </c>
      <c r="F89" s="8">
        <v>34</v>
      </c>
      <c r="G89" s="8">
        <v>3</v>
      </c>
      <c r="H89" s="8">
        <v>7.13</v>
      </c>
      <c r="I89" s="8">
        <v>5.3</v>
      </c>
      <c r="J89" s="8">
        <v>0</v>
      </c>
    </row>
    <row r="90" spans="1:10" ht="14.25" customHeight="1">
      <c r="A90" s="8">
        <v>4085</v>
      </c>
      <c r="B90" s="8" t="s">
        <v>61</v>
      </c>
      <c r="C90" s="8" t="s">
        <v>28</v>
      </c>
      <c r="D90" s="8" t="s">
        <v>29</v>
      </c>
      <c r="E90" s="8" t="s">
        <v>30</v>
      </c>
      <c r="F90" s="8">
        <v>174</v>
      </c>
      <c r="G90" s="8">
        <v>6.2</v>
      </c>
      <c r="H90" s="8">
        <v>81.290000000000006</v>
      </c>
      <c r="I90" s="8">
        <v>6.1</v>
      </c>
      <c r="J90" s="8">
        <v>11</v>
      </c>
    </row>
    <row r="91" spans="1:10" ht="14.25" customHeight="1">
      <c r="A91" s="8">
        <v>4213</v>
      </c>
      <c r="B91" s="8" t="s">
        <v>44</v>
      </c>
      <c r="C91" s="8" t="s">
        <v>28</v>
      </c>
      <c r="D91" s="8" t="s">
        <v>41</v>
      </c>
      <c r="E91" s="8" t="s">
        <v>42</v>
      </c>
      <c r="F91" s="8">
        <v>123</v>
      </c>
      <c r="G91" s="8">
        <v>7.7</v>
      </c>
      <c r="H91" s="8">
        <v>41.14</v>
      </c>
      <c r="I91" s="8">
        <v>7.3</v>
      </c>
      <c r="J91" s="8">
        <v>6</v>
      </c>
    </row>
    <row r="92" spans="1:10" ht="14.25" customHeight="1">
      <c r="A92" s="8">
        <v>4164</v>
      </c>
      <c r="B92" s="8" t="s">
        <v>55</v>
      </c>
      <c r="C92" s="8" t="s">
        <v>45</v>
      </c>
      <c r="D92" s="8" t="s">
        <v>47</v>
      </c>
      <c r="E92" s="8" t="s">
        <v>30</v>
      </c>
      <c r="F92" s="8">
        <v>124</v>
      </c>
      <c r="G92" s="8">
        <v>6.1</v>
      </c>
      <c r="H92" s="8">
        <v>51.35</v>
      </c>
      <c r="I92" s="8">
        <v>8.6999999999999993</v>
      </c>
      <c r="J92" s="8">
        <v>12</v>
      </c>
    </row>
    <row r="93" spans="1:10" ht="14.25" customHeight="1">
      <c r="A93" s="8">
        <v>4046</v>
      </c>
      <c r="B93" s="8" t="s">
        <v>34</v>
      </c>
      <c r="C93" s="8" t="s">
        <v>52</v>
      </c>
      <c r="D93" s="8" t="s">
        <v>47</v>
      </c>
      <c r="E93" s="8" t="s">
        <v>30</v>
      </c>
      <c r="F93" s="8">
        <v>243</v>
      </c>
      <c r="G93" s="8">
        <v>3.6</v>
      </c>
      <c r="H93" s="8">
        <v>39.5</v>
      </c>
      <c r="I93" s="8">
        <v>12.5</v>
      </c>
      <c r="J93" s="8">
        <v>17</v>
      </c>
    </row>
    <row r="94" spans="1:10" ht="14.25" customHeight="1">
      <c r="A94" s="8">
        <v>4074</v>
      </c>
      <c r="B94" s="8" t="s">
        <v>40</v>
      </c>
      <c r="C94" s="8" t="s">
        <v>59</v>
      </c>
      <c r="D94" s="8" t="s">
        <v>36</v>
      </c>
      <c r="E94" s="8" t="s">
        <v>30</v>
      </c>
      <c r="F94" s="8">
        <v>140</v>
      </c>
      <c r="G94" s="8">
        <v>1.9</v>
      </c>
      <c r="H94" s="8">
        <v>23.82</v>
      </c>
      <c r="I94" s="8">
        <v>8.9</v>
      </c>
      <c r="J94" s="8">
        <v>9</v>
      </c>
    </row>
    <row r="95" spans="1:10" ht="14.25" customHeight="1">
      <c r="A95" s="8">
        <v>4294</v>
      </c>
      <c r="B95" s="8" t="s">
        <v>60</v>
      </c>
      <c r="C95" s="8" t="s">
        <v>59</v>
      </c>
      <c r="D95" s="8" t="s">
        <v>36</v>
      </c>
      <c r="E95" s="8" t="s">
        <v>42</v>
      </c>
      <c r="F95" s="8">
        <v>224</v>
      </c>
      <c r="G95" s="8">
        <v>2.5</v>
      </c>
      <c r="H95" s="8">
        <v>67.22</v>
      </c>
      <c r="I95" s="8">
        <v>7.5</v>
      </c>
      <c r="J95" s="8">
        <v>6</v>
      </c>
    </row>
    <row r="96" spans="1:10" ht="14.25" customHeight="1">
      <c r="A96" s="8">
        <v>4017</v>
      </c>
      <c r="B96" s="8" t="s">
        <v>60</v>
      </c>
      <c r="C96" s="8" t="s">
        <v>35</v>
      </c>
      <c r="D96" s="8" t="s">
        <v>36</v>
      </c>
      <c r="E96" s="8" t="s">
        <v>30</v>
      </c>
      <c r="F96" s="8">
        <v>91</v>
      </c>
      <c r="G96" s="8">
        <v>0.9</v>
      </c>
      <c r="H96" s="8">
        <v>39.11</v>
      </c>
      <c r="I96" s="8">
        <v>9.4</v>
      </c>
      <c r="J96" s="8">
        <v>11</v>
      </c>
    </row>
    <row r="97" spans="1:10" ht="14.25" customHeight="1">
      <c r="A97" s="8">
        <v>4129</v>
      </c>
      <c r="B97" s="8" t="s">
        <v>60</v>
      </c>
      <c r="C97" s="8" t="s">
        <v>52</v>
      </c>
      <c r="D97" s="8" t="s">
        <v>36</v>
      </c>
      <c r="E97" s="8" t="s">
        <v>49</v>
      </c>
      <c r="F97" s="8">
        <v>236</v>
      </c>
      <c r="G97" s="8">
        <v>3.5</v>
      </c>
      <c r="H97" s="8">
        <v>122.15</v>
      </c>
      <c r="I97" s="8">
        <v>6.7</v>
      </c>
      <c r="J97" s="8">
        <v>10</v>
      </c>
    </row>
    <row r="98" spans="1:10" ht="14.25" customHeight="1">
      <c r="A98" s="8">
        <v>4083</v>
      </c>
      <c r="B98" s="8" t="s">
        <v>34</v>
      </c>
      <c r="C98" s="8" t="s">
        <v>45</v>
      </c>
      <c r="D98" s="8" t="s">
        <v>36</v>
      </c>
      <c r="E98" s="8" t="s">
        <v>49</v>
      </c>
      <c r="F98" s="8">
        <v>118</v>
      </c>
      <c r="G98" s="8">
        <v>5.5</v>
      </c>
      <c r="H98" s="8">
        <v>46.21</v>
      </c>
      <c r="I98" s="8">
        <v>9.6</v>
      </c>
      <c r="J98" s="8">
        <v>5</v>
      </c>
    </row>
    <row r="99" spans="1:10" ht="14.25" customHeight="1">
      <c r="A99" s="8">
        <v>4295</v>
      </c>
      <c r="B99" s="8" t="s">
        <v>55</v>
      </c>
      <c r="C99" s="8" t="s">
        <v>59</v>
      </c>
      <c r="D99" s="8" t="s">
        <v>47</v>
      </c>
      <c r="E99" s="8" t="s">
        <v>30</v>
      </c>
      <c r="F99" s="8">
        <v>158</v>
      </c>
      <c r="G99" s="8">
        <v>5.8</v>
      </c>
      <c r="H99" s="8">
        <v>73.86</v>
      </c>
      <c r="I99" s="8">
        <v>8.6999999999999993</v>
      </c>
      <c r="J99" s="8">
        <v>6</v>
      </c>
    </row>
    <row r="100" spans="1:10" ht="14.25" customHeight="1">
      <c r="A100" s="8">
        <v>4112</v>
      </c>
      <c r="B100" s="8" t="s">
        <v>27</v>
      </c>
      <c r="C100" s="8" t="s">
        <v>52</v>
      </c>
      <c r="D100" s="8" t="s">
        <v>47</v>
      </c>
      <c r="E100" s="8" t="s">
        <v>53</v>
      </c>
      <c r="F100" s="8">
        <v>135</v>
      </c>
      <c r="G100" s="8">
        <v>4.3</v>
      </c>
      <c r="H100" s="8">
        <v>78.84</v>
      </c>
      <c r="I100" s="8">
        <v>7.7</v>
      </c>
      <c r="J100" s="8">
        <v>12</v>
      </c>
    </row>
    <row r="101" spans="1:10" ht="14.25" customHeight="1">
      <c r="A101" s="8">
        <v>4292</v>
      </c>
      <c r="B101" s="8" t="s">
        <v>60</v>
      </c>
      <c r="C101" s="8" t="s">
        <v>52</v>
      </c>
      <c r="D101" s="8" t="s">
        <v>47</v>
      </c>
      <c r="E101" s="8" t="s">
        <v>30</v>
      </c>
      <c r="F101" s="8">
        <v>225</v>
      </c>
      <c r="G101" s="8">
        <v>2.7</v>
      </c>
      <c r="H101" s="8">
        <v>45.25</v>
      </c>
      <c r="I101" s="8">
        <v>6.6</v>
      </c>
      <c r="J101" s="8">
        <v>13</v>
      </c>
    </row>
    <row r="102" spans="1:10" ht="14.25" customHeight="1">
      <c r="A102" s="8">
        <v>4212</v>
      </c>
      <c r="B102" s="8" t="s">
        <v>55</v>
      </c>
      <c r="C102" s="8" t="s">
        <v>52</v>
      </c>
      <c r="D102" s="8" t="s">
        <v>29</v>
      </c>
      <c r="E102" s="8" t="s">
        <v>42</v>
      </c>
      <c r="F102" s="8">
        <v>113</v>
      </c>
      <c r="G102" s="8">
        <v>6.5</v>
      </c>
      <c r="H102" s="8">
        <v>24.55</v>
      </c>
      <c r="I102" s="8">
        <v>6.2</v>
      </c>
      <c r="J102" s="8">
        <v>4</v>
      </c>
    </row>
    <row r="103" spans="1:10" ht="14.25" customHeight="1">
      <c r="A103" s="8">
        <v>4006</v>
      </c>
      <c r="B103" s="8" t="s">
        <v>58</v>
      </c>
      <c r="C103" s="8" t="s">
        <v>52</v>
      </c>
      <c r="D103" s="8" t="s">
        <v>29</v>
      </c>
      <c r="E103" s="8" t="s">
        <v>49</v>
      </c>
      <c r="F103" s="8">
        <v>164</v>
      </c>
      <c r="G103" s="8">
        <v>6.1</v>
      </c>
      <c r="H103" s="8">
        <v>56.95</v>
      </c>
      <c r="I103" s="8">
        <v>8.5</v>
      </c>
      <c r="J103" s="8">
        <v>12</v>
      </c>
    </row>
    <row r="104" spans="1:10" ht="14.25" customHeight="1">
      <c r="A104" s="8">
        <v>4272</v>
      </c>
      <c r="B104" s="8" t="s">
        <v>44</v>
      </c>
      <c r="C104" s="8" t="s">
        <v>59</v>
      </c>
      <c r="D104" s="8" t="s">
        <v>36</v>
      </c>
      <c r="E104" s="8" t="s">
        <v>38</v>
      </c>
      <c r="F104" s="8">
        <v>119</v>
      </c>
      <c r="G104" s="8">
        <v>4.3</v>
      </c>
      <c r="H104" s="8">
        <v>28.63</v>
      </c>
      <c r="I104" s="8">
        <v>7.5</v>
      </c>
      <c r="J104" s="8">
        <v>13</v>
      </c>
    </row>
    <row r="105" spans="1:10" ht="14.25" customHeight="1">
      <c r="A105" s="8">
        <v>4154</v>
      </c>
      <c r="B105" s="8" t="s">
        <v>44</v>
      </c>
      <c r="C105" s="8" t="s">
        <v>35</v>
      </c>
      <c r="D105" s="8" t="s">
        <v>29</v>
      </c>
      <c r="E105" s="8" t="s">
        <v>49</v>
      </c>
      <c r="F105" s="8">
        <v>159</v>
      </c>
      <c r="G105" s="8">
        <v>7.4</v>
      </c>
      <c r="H105" s="8">
        <v>46.11</v>
      </c>
      <c r="I105" s="8">
        <v>6.7</v>
      </c>
      <c r="J105" s="8">
        <v>8</v>
      </c>
    </row>
    <row r="106" spans="1:10" ht="14.25" customHeight="1">
      <c r="A106" s="8">
        <v>4268</v>
      </c>
      <c r="B106" s="8" t="s">
        <v>27</v>
      </c>
      <c r="C106" s="8" t="s">
        <v>45</v>
      </c>
      <c r="D106" s="8" t="s">
        <v>41</v>
      </c>
      <c r="E106" s="8" t="s">
        <v>42</v>
      </c>
      <c r="F106" s="8">
        <v>91</v>
      </c>
      <c r="G106" s="8">
        <v>9.1</v>
      </c>
      <c r="H106" s="8">
        <v>23.32</v>
      </c>
      <c r="I106" s="8">
        <v>8.6999999999999993</v>
      </c>
      <c r="J106" s="8">
        <v>4</v>
      </c>
    </row>
    <row r="107" spans="1:10" ht="14.25" customHeight="1">
      <c r="A107" s="8">
        <v>4318</v>
      </c>
      <c r="B107" s="8" t="s">
        <v>61</v>
      </c>
      <c r="C107" s="8" t="s">
        <v>52</v>
      </c>
      <c r="D107" s="8" t="s">
        <v>29</v>
      </c>
      <c r="E107" s="8" t="s">
        <v>49</v>
      </c>
      <c r="F107" s="8">
        <v>23</v>
      </c>
      <c r="G107" s="8">
        <v>3.6</v>
      </c>
      <c r="H107" s="8">
        <v>4.7</v>
      </c>
      <c r="I107" s="8">
        <v>9.4</v>
      </c>
      <c r="J107" s="8">
        <v>8</v>
      </c>
    </row>
    <row r="108" spans="1:10" ht="14.25" customHeight="1">
      <c r="A108" s="8">
        <v>4257</v>
      </c>
      <c r="B108" s="8" t="s">
        <v>58</v>
      </c>
      <c r="C108" s="8" t="s">
        <v>59</v>
      </c>
      <c r="D108" s="8" t="s">
        <v>36</v>
      </c>
      <c r="E108" s="8" t="s">
        <v>42</v>
      </c>
      <c r="F108" s="8">
        <v>132</v>
      </c>
      <c r="G108" s="8">
        <v>4.4000000000000004</v>
      </c>
      <c r="H108" s="8">
        <v>61.59</v>
      </c>
      <c r="I108" s="8">
        <v>8.1</v>
      </c>
      <c r="J108" s="8">
        <v>6</v>
      </c>
    </row>
    <row r="109" spans="1:10" ht="14.25" customHeight="1">
      <c r="A109" s="8">
        <v>4021</v>
      </c>
      <c r="B109" s="8" t="s">
        <v>60</v>
      </c>
      <c r="C109" s="8" t="s">
        <v>28</v>
      </c>
      <c r="D109" s="8" t="s">
        <v>36</v>
      </c>
      <c r="E109" s="8" t="s">
        <v>38</v>
      </c>
      <c r="G109" s="8">
        <v>2.6</v>
      </c>
      <c r="H109" s="8">
        <v>46.54</v>
      </c>
      <c r="I109" s="8">
        <v>7.4</v>
      </c>
      <c r="J109" s="8">
        <v>12</v>
      </c>
    </row>
    <row r="110" spans="1:10" ht="14.25" customHeight="1">
      <c r="A110" s="8">
        <v>4253</v>
      </c>
      <c r="B110" s="8" t="s">
        <v>60</v>
      </c>
      <c r="C110" s="8" t="s">
        <v>45</v>
      </c>
      <c r="D110" s="8" t="s">
        <v>29</v>
      </c>
      <c r="E110" s="8" t="s">
        <v>30</v>
      </c>
      <c r="F110" s="8">
        <v>191</v>
      </c>
      <c r="G110" s="8">
        <v>5.9</v>
      </c>
      <c r="H110" s="8">
        <v>53.59</v>
      </c>
      <c r="I110" s="8">
        <v>7.6</v>
      </c>
      <c r="J110" s="8">
        <v>8</v>
      </c>
    </row>
    <row r="111" spans="1:10" ht="14.25" customHeight="1">
      <c r="A111" s="8">
        <v>4143</v>
      </c>
      <c r="B111" s="8" t="s">
        <v>40</v>
      </c>
      <c r="C111" s="8" t="s">
        <v>35</v>
      </c>
      <c r="D111" s="8" t="s">
        <v>29</v>
      </c>
      <c r="E111" s="8" t="s">
        <v>30</v>
      </c>
      <c r="F111" s="8">
        <v>139</v>
      </c>
      <c r="G111" s="8">
        <v>10.1</v>
      </c>
      <c r="H111" s="8">
        <v>42.45</v>
      </c>
      <c r="I111" s="8">
        <v>7.3</v>
      </c>
      <c r="J111" s="8">
        <v>4</v>
      </c>
    </row>
    <row r="112" spans="1:10" ht="14.25" customHeight="1">
      <c r="A112" s="8">
        <v>4071</v>
      </c>
      <c r="B112" s="8" t="s">
        <v>60</v>
      </c>
      <c r="C112" s="8" t="s">
        <v>52</v>
      </c>
      <c r="D112" s="8" t="s">
        <v>41</v>
      </c>
      <c r="E112" s="8" t="s">
        <v>49</v>
      </c>
      <c r="F112" s="8">
        <v>76</v>
      </c>
      <c r="G112" s="8">
        <v>11.2</v>
      </c>
      <c r="H112" s="8">
        <v>38.049999999999997</v>
      </c>
      <c r="I112" s="8">
        <v>8.5</v>
      </c>
      <c r="J112" s="8">
        <v>7</v>
      </c>
    </row>
    <row r="113" spans="1:10" ht="14.25" customHeight="1">
      <c r="A113" s="8">
        <v>4124</v>
      </c>
      <c r="B113" s="8" t="s">
        <v>58</v>
      </c>
      <c r="C113" s="8" t="s">
        <v>45</v>
      </c>
      <c r="D113" s="8" t="s">
        <v>47</v>
      </c>
      <c r="E113" s="8" t="s">
        <v>38</v>
      </c>
      <c r="F113" s="8">
        <v>77</v>
      </c>
      <c r="G113" s="8">
        <v>1.8</v>
      </c>
      <c r="H113" s="8">
        <v>32.200000000000003</v>
      </c>
      <c r="I113" s="8">
        <v>7.8</v>
      </c>
      <c r="J113" s="8">
        <v>7</v>
      </c>
    </row>
    <row r="114" spans="1:10" ht="14.25" customHeight="1">
      <c r="A114" s="8">
        <v>4293</v>
      </c>
      <c r="B114" s="8" t="s">
        <v>27</v>
      </c>
      <c r="C114" s="8" t="s">
        <v>35</v>
      </c>
      <c r="D114" s="8" t="s">
        <v>47</v>
      </c>
      <c r="E114" s="8" t="s">
        <v>53</v>
      </c>
      <c r="F114" s="8">
        <v>147</v>
      </c>
      <c r="G114" s="8">
        <v>3.4</v>
      </c>
      <c r="H114" s="8">
        <v>60.49</v>
      </c>
      <c r="I114" s="8">
        <v>5.0999999999999996</v>
      </c>
    </row>
    <row r="115" spans="1:10" ht="14.25" customHeight="1">
      <c r="A115" s="8">
        <v>4327</v>
      </c>
      <c r="B115" s="8" t="s">
        <v>27</v>
      </c>
      <c r="C115" s="8" t="s">
        <v>59</v>
      </c>
      <c r="D115" s="8" t="s">
        <v>41</v>
      </c>
      <c r="E115" s="8" t="s">
        <v>49</v>
      </c>
      <c r="F115" s="8">
        <v>155</v>
      </c>
      <c r="G115" s="8">
        <v>10.7</v>
      </c>
      <c r="H115" s="8">
        <v>46.82</v>
      </c>
      <c r="I115" s="8">
        <v>8.6</v>
      </c>
      <c r="J115" s="8">
        <v>14</v>
      </c>
    </row>
    <row r="116" spans="1:10" ht="14.25" customHeight="1">
      <c r="A116" s="8">
        <v>4149</v>
      </c>
      <c r="B116" s="8" t="s">
        <v>44</v>
      </c>
      <c r="C116" s="8" t="s">
        <v>35</v>
      </c>
      <c r="D116" s="8" t="s">
        <v>41</v>
      </c>
      <c r="E116" s="8" t="s">
        <v>38</v>
      </c>
      <c r="F116" s="8">
        <v>171</v>
      </c>
      <c r="G116" s="8">
        <v>6.7</v>
      </c>
      <c r="H116" s="8">
        <v>54.43</v>
      </c>
      <c r="I116" s="8">
        <v>7.7</v>
      </c>
      <c r="J116" s="8">
        <v>13</v>
      </c>
    </row>
    <row r="117" spans="1:10" ht="14.25" customHeight="1">
      <c r="A117" s="8">
        <v>4258</v>
      </c>
      <c r="B117" s="8" t="s">
        <v>34</v>
      </c>
      <c r="C117" s="8" t="s">
        <v>52</v>
      </c>
      <c r="D117" s="8" t="s">
        <v>36</v>
      </c>
      <c r="E117" s="8" t="s">
        <v>30</v>
      </c>
      <c r="F117" s="8">
        <v>190</v>
      </c>
      <c r="G117" s="8">
        <v>4.5</v>
      </c>
      <c r="H117" s="8">
        <v>34.33</v>
      </c>
      <c r="I117" s="8">
        <v>7.6</v>
      </c>
      <c r="J117" s="8">
        <v>12</v>
      </c>
    </row>
    <row r="118" spans="1:10" ht="14.25" customHeight="1">
      <c r="A118" s="8">
        <v>4147</v>
      </c>
      <c r="B118" s="8" t="s">
        <v>27</v>
      </c>
      <c r="C118" s="8" t="s">
        <v>59</v>
      </c>
      <c r="D118" s="8" t="s">
        <v>36</v>
      </c>
      <c r="E118" s="8" t="s">
        <v>49</v>
      </c>
      <c r="F118" s="8">
        <v>124</v>
      </c>
      <c r="G118" s="8">
        <v>3.2</v>
      </c>
      <c r="H118" s="8">
        <v>28.4</v>
      </c>
      <c r="I118" s="8">
        <v>7.3</v>
      </c>
      <c r="J118" s="8">
        <v>5</v>
      </c>
    </row>
    <row r="119" spans="1:10" ht="14.25" customHeight="1">
      <c r="A119" s="8">
        <v>4291</v>
      </c>
      <c r="B119" s="8" t="s">
        <v>55</v>
      </c>
      <c r="C119" s="8" t="s">
        <v>45</v>
      </c>
      <c r="D119" s="8" t="s">
        <v>47</v>
      </c>
      <c r="E119" s="8" t="s">
        <v>38</v>
      </c>
      <c r="F119" s="8">
        <v>238</v>
      </c>
      <c r="G119" s="8">
        <v>5.2</v>
      </c>
      <c r="H119" s="8">
        <v>90.39</v>
      </c>
      <c r="I119" s="8">
        <v>7.9</v>
      </c>
      <c r="J119" s="8">
        <v>13</v>
      </c>
    </row>
    <row r="120" spans="1:10" ht="14.25" customHeight="1">
      <c r="A120" s="8">
        <v>4134</v>
      </c>
      <c r="B120" s="8" t="s">
        <v>34</v>
      </c>
      <c r="C120" s="8" t="s">
        <v>28</v>
      </c>
      <c r="D120" s="8" t="s">
        <v>47</v>
      </c>
      <c r="E120" s="8" t="s">
        <v>49</v>
      </c>
      <c r="F120" s="8">
        <v>217</v>
      </c>
      <c r="G120" s="8">
        <v>4.3</v>
      </c>
      <c r="H120" s="8">
        <v>114.54</v>
      </c>
      <c r="I120" s="8">
        <v>7</v>
      </c>
      <c r="J120" s="8">
        <v>12</v>
      </c>
    </row>
    <row r="121" spans="1:10" ht="14.25" customHeight="1">
      <c r="A121" s="8">
        <v>4229</v>
      </c>
      <c r="B121" s="8" t="s">
        <v>61</v>
      </c>
      <c r="C121" s="8" t="s">
        <v>45</v>
      </c>
      <c r="D121" s="8" t="s">
        <v>41</v>
      </c>
      <c r="E121" s="8" t="s">
        <v>42</v>
      </c>
      <c r="F121" s="8">
        <v>165</v>
      </c>
      <c r="G121" s="8">
        <v>17.100000000000001</v>
      </c>
      <c r="H121" s="8">
        <v>28.42</v>
      </c>
      <c r="I121" s="8">
        <v>7.9</v>
      </c>
      <c r="J121" s="8">
        <v>11</v>
      </c>
    </row>
    <row r="122" spans="1:10" ht="14.25" customHeight="1">
      <c r="A122" s="8">
        <v>4183</v>
      </c>
      <c r="B122" s="8" t="s">
        <v>58</v>
      </c>
      <c r="C122" s="8" t="s">
        <v>45</v>
      </c>
      <c r="D122" s="8" t="s">
        <v>41</v>
      </c>
      <c r="E122" s="8" t="s">
        <v>49</v>
      </c>
      <c r="F122" s="8">
        <v>170</v>
      </c>
      <c r="G122" s="8">
        <v>9</v>
      </c>
      <c r="H122" s="8">
        <v>92.28</v>
      </c>
      <c r="I122" s="8">
        <v>8.1999999999999993</v>
      </c>
      <c r="J122" s="8">
        <v>13</v>
      </c>
    </row>
    <row r="123" spans="1:10" ht="14.25" customHeight="1">
      <c r="A123" s="8">
        <v>4232</v>
      </c>
      <c r="B123" s="8" t="s">
        <v>44</v>
      </c>
      <c r="C123" s="8" t="s">
        <v>28</v>
      </c>
      <c r="D123" s="8" t="s">
        <v>47</v>
      </c>
      <c r="E123" s="8" t="s">
        <v>53</v>
      </c>
      <c r="F123" s="8">
        <v>131</v>
      </c>
      <c r="G123" s="8">
        <v>5</v>
      </c>
      <c r="H123" s="8">
        <v>32.57</v>
      </c>
      <c r="I123" s="8">
        <v>8.6999999999999993</v>
      </c>
      <c r="J123" s="8">
        <v>12</v>
      </c>
    </row>
    <row r="124" spans="1:10" ht="14.25" customHeight="1">
      <c r="A124" s="8">
        <v>4146</v>
      </c>
      <c r="B124" s="8" t="s">
        <v>27</v>
      </c>
      <c r="C124" s="8" t="s">
        <v>28</v>
      </c>
      <c r="D124" s="8" t="s">
        <v>29</v>
      </c>
      <c r="E124" s="8" t="s">
        <v>30</v>
      </c>
      <c r="F124" s="8">
        <v>84</v>
      </c>
      <c r="G124" s="8">
        <v>8.9</v>
      </c>
      <c r="H124" s="8">
        <v>29.67</v>
      </c>
      <c r="I124" s="8">
        <v>9.5</v>
      </c>
      <c r="J124" s="8">
        <v>2</v>
      </c>
    </row>
    <row r="125" spans="1:10" ht="14.25" customHeight="1">
      <c r="A125" s="8">
        <v>4247</v>
      </c>
      <c r="B125" s="8" t="s">
        <v>58</v>
      </c>
      <c r="C125" s="8" t="s">
        <v>45</v>
      </c>
      <c r="D125" s="8" t="s">
        <v>36</v>
      </c>
      <c r="E125" s="8" t="s">
        <v>53</v>
      </c>
      <c r="F125" s="8">
        <v>102</v>
      </c>
      <c r="G125" s="8">
        <v>1.9</v>
      </c>
      <c r="H125" s="8">
        <v>59.96</v>
      </c>
      <c r="I125" s="8">
        <v>9.1</v>
      </c>
      <c r="J125" s="8">
        <v>1</v>
      </c>
    </row>
    <row r="126" spans="1:10" ht="14.25" customHeight="1">
      <c r="A126" s="8">
        <v>4314</v>
      </c>
      <c r="B126" s="8" t="s">
        <v>60</v>
      </c>
      <c r="C126" s="8" t="s">
        <v>35</v>
      </c>
      <c r="D126" s="8" t="s">
        <v>36</v>
      </c>
      <c r="E126" s="8" t="s">
        <v>42</v>
      </c>
      <c r="F126" s="8">
        <v>19</v>
      </c>
      <c r="G126" s="8">
        <v>2.6</v>
      </c>
      <c r="H126" s="8">
        <v>1</v>
      </c>
      <c r="I126" s="8">
        <v>7.8</v>
      </c>
      <c r="J126" s="8">
        <v>0</v>
      </c>
    </row>
    <row r="127" spans="1:10" ht="14.25" customHeight="1">
      <c r="A127" s="8">
        <v>4240</v>
      </c>
      <c r="B127" s="8" t="s">
        <v>44</v>
      </c>
      <c r="C127" s="8" t="s">
        <v>28</v>
      </c>
      <c r="D127" s="8" t="s">
        <v>41</v>
      </c>
      <c r="E127" s="8" t="s">
        <v>30</v>
      </c>
      <c r="F127" s="8">
        <v>206</v>
      </c>
      <c r="G127" s="8">
        <v>13.4</v>
      </c>
      <c r="H127" s="8">
        <v>71.33</v>
      </c>
      <c r="I127" s="8">
        <v>7.2</v>
      </c>
      <c r="J127" s="8">
        <v>11</v>
      </c>
    </row>
    <row r="128" spans="1:10" ht="14.25" customHeight="1">
      <c r="A128" s="8">
        <v>4162</v>
      </c>
      <c r="B128" s="8" t="s">
        <v>61</v>
      </c>
      <c r="C128" s="8" t="s">
        <v>35</v>
      </c>
      <c r="D128" s="8" t="s">
        <v>47</v>
      </c>
      <c r="E128" s="8" t="s">
        <v>38</v>
      </c>
      <c r="F128" s="8">
        <v>166</v>
      </c>
      <c r="G128" s="8">
        <v>2.5</v>
      </c>
      <c r="H128" s="8">
        <v>55.63</v>
      </c>
      <c r="I128" s="8">
        <v>7.1</v>
      </c>
      <c r="J128" s="8">
        <v>8</v>
      </c>
    </row>
    <row r="129" spans="1:10" ht="14.25" customHeight="1">
      <c r="A129" s="8">
        <v>4062</v>
      </c>
      <c r="B129" s="8" t="s">
        <v>60</v>
      </c>
      <c r="C129" s="8" t="s">
        <v>28</v>
      </c>
      <c r="D129" s="8" t="s">
        <v>29</v>
      </c>
      <c r="E129" s="8" t="s">
        <v>42</v>
      </c>
      <c r="F129" s="8">
        <v>110</v>
      </c>
      <c r="G129" s="8">
        <v>7.1</v>
      </c>
      <c r="H129" s="8">
        <v>21.9</v>
      </c>
      <c r="I129" s="8">
        <v>10</v>
      </c>
      <c r="J129" s="8">
        <v>9</v>
      </c>
    </row>
    <row r="130" spans="1:10" ht="14.25" customHeight="1">
      <c r="A130" s="8">
        <v>4116</v>
      </c>
      <c r="B130" s="8" t="s">
        <v>58</v>
      </c>
      <c r="C130" s="8" t="s">
        <v>59</v>
      </c>
      <c r="D130" s="8" t="s">
        <v>47</v>
      </c>
      <c r="E130" s="8" t="s">
        <v>30</v>
      </c>
      <c r="F130" s="8">
        <v>50</v>
      </c>
      <c r="G130" s="8">
        <v>5.8</v>
      </c>
      <c r="H130" s="8">
        <v>9.2200000000000006</v>
      </c>
      <c r="I130" s="8">
        <v>8</v>
      </c>
      <c r="J130" s="8">
        <v>3</v>
      </c>
    </row>
    <row r="131" spans="1:10" ht="14.25" customHeight="1">
      <c r="A131" s="8">
        <v>4155</v>
      </c>
      <c r="B131" s="8" t="s">
        <v>34</v>
      </c>
      <c r="C131" s="8" t="s">
        <v>45</v>
      </c>
      <c r="D131" s="8" t="s">
        <v>36</v>
      </c>
      <c r="E131" s="8" t="s">
        <v>30</v>
      </c>
      <c r="F131" s="8">
        <v>98</v>
      </c>
      <c r="G131" s="8">
        <v>3</v>
      </c>
      <c r="H131" s="8">
        <v>21.75</v>
      </c>
      <c r="I131" s="8">
        <v>6.7</v>
      </c>
      <c r="J131" s="8">
        <v>7</v>
      </c>
    </row>
    <row r="132" spans="1:10" ht="14.25" customHeight="1">
      <c r="A132" s="8">
        <v>4167</v>
      </c>
      <c r="B132" s="8" t="s">
        <v>34</v>
      </c>
      <c r="C132" s="8" t="s">
        <v>28</v>
      </c>
      <c r="D132" s="8" t="s">
        <v>29</v>
      </c>
      <c r="E132" s="8" t="s">
        <v>53</v>
      </c>
      <c r="F132" s="8">
        <v>222</v>
      </c>
      <c r="G132" s="8">
        <v>8.9</v>
      </c>
      <c r="H132" s="8">
        <v>93.37</v>
      </c>
      <c r="I132" s="8">
        <v>7.9</v>
      </c>
      <c r="J132" s="8">
        <v>17</v>
      </c>
    </row>
    <row r="133" spans="1:10" ht="14.25" customHeight="1">
      <c r="A133" s="8">
        <v>4309</v>
      </c>
      <c r="B133" s="8" t="s">
        <v>60</v>
      </c>
      <c r="C133" s="8" t="s">
        <v>52</v>
      </c>
      <c r="D133" s="8" t="s">
        <v>47</v>
      </c>
      <c r="E133" s="8" t="s">
        <v>38</v>
      </c>
      <c r="F133" s="8">
        <v>190</v>
      </c>
      <c r="G133" s="8">
        <v>5.2</v>
      </c>
      <c r="H133" s="8">
        <v>35.99</v>
      </c>
      <c r="I133" s="8">
        <v>8.3000000000000007</v>
      </c>
      <c r="J133" s="8">
        <v>10</v>
      </c>
    </row>
    <row r="134" spans="1:10" ht="14.25" customHeight="1">
      <c r="A134" s="8">
        <v>4301</v>
      </c>
      <c r="B134" s="8" t="s">
        <v>58</v>
      </c>
      <c r="C134" s="8" t="s">
        <v>35</v>
      </c>
      <c r="D134" s="8" t="s">
        <v>36</v>
      </c>
      <c r="E134" s="8" t="s">
        <v>38</v>
      </c>
      <c r="F134" s="8">
        <v>216</v>
      </c>
      <c r="G134" s="8">
        <v>4</v>
      </c>
      <c r="H134" s="8">
        <v>34.96</v>
      </c>
      <c r="I134" s="8">
        <v>7.2</v>
      </c>
      <c r="J134" s="8">
        <v>13</v>
      </c>
    </row>
    <row r="135" spans="1:10" ht="14.25" customHeight="1">
      <c r="A135" s="8">
        <v>4174</v>
      </c>
      <c r="B135" s="8" t="s">
        <v>27</v>
      </c>
      <c r="C135" s="8" t="s">
        <v>45</v>
      </c>
      <c r="D135" s="8" t="s">
        <v>47</v>
      </c>
      <c r="E135" s="8" t="s">
        <v>30</v>
      </c>
      <c r="F135" s="8">
        <v>182</v>
      </c>
      <c r="G135" s="8">
        <v>3</v>
      </c>
      <c r="H135" s="8">
        <v>55.95</v>
      </c>
      <c r="I135" s="8">
        <v>8.6999999999999993</v>
      </c>
      <c r="J135" s="8">
        <v>8</v>
      </c>
    </row>
    <row r="136" spans="1:10" ht="14.25" customHeight="1">
      <c r="A136" s="8">
        <v>4170</v>
      </c>
      <c r="B136" s="8" t="s">
        <v>55</v>
      </c>
      <c r="C136" s="8" t="s">
        <v>59</v>
      </c>
      <c r="D136" s="8" t="s">
        <v>36</v>
      </c>
      <c r="E136" s="8" t="s">
        <v>42</v>
      </c>
      <c r="F136" s="8">
        <v>113</v>
      </c>
      <c r="H136" s="8">
        <v>53.72</v>
      </c>
      <c r="I136" s="8">
        <v>7.9</v>
      </c>
      <c r="J136" s="8">
        <v>17</v>
      </c>
    </row>
    <row r="137" spans="1:10" ht="14.25" customHeight="1">
      <c r="A137" s="8">
        <v>4050</v>
      </c>
      <c r="B137" s="8" t="s">
        <v>44</v>
      </c>
      <c r="C137" s="8" t="s">
        <v>28</v>
      </c>
      <c r="D137" s="8" t="s">
        <v>36</v>
      </c>
      <c r="E137" s="8" t="s">
        <v>38</v>
      </c>
      <c r="F137" s="8">
        <v>79</v>
      </c>
      <c r="G137" s="8">
        <v>2.6</v>
      </c>
      <c r="H137" s="8">
        <v>41.83</v>
      </c>
      <c r="I137" s="8">
        <v>8.4</v>
      </c>
      <c r="J137" s="8">
        <v>3</v>
      </c>
    </row>
    <row r="138" spans="1:10" ht="14.25" customHeight="1">
      <c r="A138" s="8">
        <v>4089</v>
      </c>
      <c r="B138" s="8" t="s">
        <v>34</v>
      </c>
      <c r="C138" s="8" t="s">
        <v>52</v>
      </c>
      <c r="D138" s="8" t="s">
        <v>36</v>
      </c>
      <c r="E138" s="8" t="s">
        <v>49</v>
      </c>
      <c r="F138" s="8">
        <v>87</v>
      </c>
      <c r="G138" s="8">
        <v>2.6</v>
      </c>
      <c r="H138" s="8">
        <v>39.92</v>
      </c>
      <c r="I138" s="8">
        <v>8.6999999999999993</v>
      </c>
      <c r="J138" s="8">
        <v>5</v>
      </c>
    </row>
    <row r="139" spans="1:10" ht="14.25" customHeight="1">
      <c r="A139" s="8">
        <v>4001</v>
      </c>
      <c r="B139" s="8" t="s">
        <v>27</v>
      </c>
      <c r="C139" s="8" t="s">
        <v>35</v>
      </c>
      <c r="D139" s="8" t="s">
        <v>29</v>
      </c>
      <c r="E139" s="8" t="s">
        <v>38</v>
      </c>
      <c r="F139" s="8">
        <v>206</v>
      </c>
      <c r="G139" s="8">
        <v>8.6</v>
      </c>
      <c r="H139" s="8">
        <v>66.59</v>
      </c>
      <c r="I139" s="8">
        <v>8.4</v>
      </c>
      <c r="J139" s="8">
        <v>16</v>
      </c>
    </row>
    <row r="140" spans="1:10" ht="14.25" customHeight="1">
      <c r="A140" s="8">
        <v>4222</v>
      </c>
      <c r="B140" s="8" t="s">
        <v>60</v>
      </c>
      <c r="C140" s="8" t="s">
        <v>59</v>
      </c>
      <c r="D140" s="8" t="s">
        <v>47</v>
      </c>
      <c r="E140" s="8" t="s">
        <v>49</v>
      </c>
      <c r="F140" s="8">
        <v>282</v>
      </c>
      <c r="G140" s="8">
        <v>2.4</v>
      </c>
      <c r="H140" s="8">
        <v>143.78</v>
      </c>
      <c r="I140" s="8">
        <v>8.1999999999999993</v>
      </c>
      <c r="J140" s="8">
        <v>11</v>
      </c>
    </row>
    <row r="141" spans="1:10" ht="14.25" customHeight="1">
      <c r="A141" s="8">
        <v>4182</v>
      </c>
      <c r="B141" s="8" t="s">
        <v>34</v>
      </c>
      <c r="C141" s="8" t="s">
        <v>59</v>
      </c>
      <c r="D141" s="8" t="s">
        <v>41</v>
      </c>
      <c r="E141" s="8" t="s">
        <v>42</v>
      </c>
      <c r="F141" s="8">
        <v>220</v>
      </c>
      <c r="G141" s="8">
        <v>6.8</v>
      </c>
      <c r="H141" s="8">
        <v>56.58</v>
      </c>
      <c r="I141" s="8">
        <v>8.1999999999999993</v>
      </c>
      <c r="J141" s="8">
        <v>9</v>
      </c>
    </row>
    <row r="142" spans="1:10" ht="14.25" customHeight="1">
      <c r="A142" s="8">
        <v>4077</v>
      </c>
      <c r="B142" s="8" t="s">
        <v>44</v>
      </c>
      <c r="C142" s="8" t="s">
        <v>28</v>
      </c>
      <c r="D142" s="8" t="s">
        <v>29</v>
      </c>
      <c r="E142" s="8" t="s">
        <v>38</v>
      </c>
      <c r="F142" s="8">
        <v>172</v>
      </c>
      <c r="G142" s="8">
        <v>6.5</v>
      </c>
      <c r="H142" s="8">
        <v>55.99</v>
      </c>
      <c r="I142" s="8">
        <v>10</v>
      </c>
      <c r="J142" s="8">
        <v>11</v>
      </c>
    </row>
    <row r="143" spans="1:10" ht="14.25" customHeight="1">
      <c r="A143" s="8">
        <v>4059</v>
      </c>
      <c r="B143" s="8" t="s">
        <v>34</v>
      </c>
      <c r="C143" s="8" t="s">
        <v>35</v>
      </c>
      <c r="D143" s="8" t="s">
        <v>47</v>
      </c>
      <c r="E143" s="8" t="s">
        <v>49</v>
      </c>
      <c r="F143" s="8">
        <v>139</v>
      </c>
      <c r="G143" s="8">
        <v>4.5</v>
      </c>
      <c r="H143" s="8">
        <v>43.91</v>
      </c>
      <c r="I143" s="8">
        <v>7.7</v>
      </c>
      <c r="J143" s="8">
        <v>14</v>
      </c>
    </row>
    <row r="144" spans="1:10" ht="14.25" customHeight="1">
      <c r="A144" s="8">
        <v>4070</v>
      </c>
      <c r="B144" s="8" t="s">
        <v>55</v>
      </c>
      <c r="C144" s="8" t="s">
        <v>45</v>
      </c>
      <c r="D144" s="8" t="s">
        <v>47</v>
      </c>
      <c r="E144" s="8" t="s">
        <v>53</v>
      </c>
      <c r="F144" s="8">
        <v>98</v>
      </c>
      <c r="G144" s="8">
        <v>6.2</v>
      </c>
      <c r="H144" s="8">
        <v>19.16</v>
      </c>
      <c r="I144" s="8">
        <v>8.9</v>
      </c>
      <c r="J144" s="8">
        <v>9</v>
      </c>
    </row>
    <row r="145" spans="1:10" ht="14.25" customHeight="1">
      <c r="A145" s="8">
        <v>4121</v>
      </c>
      <c r="B145" s="8" t="s">
        <v>61</v>
      </c>
      <c r="C145" s="8" t="s">
        <v>59</v>
      </c>
      <c r="D145" s="8" t="s">
        <v>36</v>
      </c>
      <c r="E145" s="8" t="s">
        <v>42</v>
      </c>
      <c r="F145" s="8">
        <v>100</v>
      </c>
      <c r="G145" s="8">
        <v>1.6</v>
      </c>
      <c r="H145" s="8">
        <v>55.81</v>
      </c>
      <c r="I145" s="8">
        <v>7.9</v>
      </c>
      <c r="J145" s="8">
        <v>13</v>
      </c>
    </row>
    <row r="146" spans="1:10" ht="14.25" customHeight="1">
      <c r="A146" s="8">
        <v>4254</v>
      </c>
      <c r="B146" s="8" t="s">
        <v>34</v>
      </c>
      <c r="C146" s="8" t="s">
        <v>45</v>
      </c>
      <c r="D146" s="8" t="s">
        <v>29</v>
      </c>
      <c r="E146" s="8" t="s">
        <v>30</v>
      </c>
      <c r="F146" s="8">
        <v>119</v>
      </c>
      <c r="G146" s="8">
        <v>6.2</v>
      </c>
      <c r="H146" s="8">
        <v>61.86</v>
      </c>
      <c r="I146" s="8">
        <v>8.5</v>
      </c>
      <c r="J146" s="8">
        <v>3</v>
      </c>
    </row>
    <row r="147" spans="1:10" ht="14.25" customHeight="1">
      <c r="A147" s="8">
        <v>4151</v>
      </c>
      <c r="B147" s="8" t="s">
        <v>40</v>
      </c>
      <c r="C147" s="8" t="s">
        <v>52</v>
      </c>
      <c r="D147" s="8" t="s">
        <v>29</v>
      </c>
      <c r="E147" s="8" t="s">
        <v>30</v>
      </c>
      <c r="G147" s="8">
        <v>7.6</v>
      </c>
      <c r="H147" s="8">
        <v>10.45</v>
      </c>
      <c r="I147" s="8">
        <v>9.1</v>
      </c>
      <c r="J147" s="8">
        <v>0</v>
      </c>
    </row>
    <row r="148" spans="1:10" ht="14.25" customHeight="1">
      <c r="A148" s="8">
        <v>4023</v>
      </c>
      <c r="B148" s="8" t="s">
        <v>55</v>
      </c>
      <c r="C148" s="8" t="s">
        <v>45</v>
      </c>
      <c r="D148" s="8" t="s">
        <v>29</v>
      </c>
      <c r="E148" s="8" t="s">
        <v>30</v>
      </c>
      <c r="F148" s="8">
        <v>78</v>
      </c>
      <c r="G148" s="8">
        <v>4.4000000000000004</v>
      </c>
      <c r="H148" s="8">
        <v>29.19</v>
      </c>
      <c r="I148" s="8">
        <v>7.8</v>
      </c>
      <c r="J148" s="8">
        <v>3</v>
      </c>
    </row>
    <row r="149" spans="1:10" ht="14.25" customHeight="1">
      <c r="A149" s="8">
        <v>4139</v>
      </c>
      <c r="B149" s="8" t="s">
        <v>34</v>
      </c>
      <c r="C149" s="8" t="s">
        <v>35</v>
      </c>
      <c r="D149" s="8" t="s">
        <v>29</v>
      </c>
      <c r="E149" s="8" t="s">
        <v>30</v>
      </c>
      <c r="F149" s="8">
        <v>246</v>
      </c>
      <c r="G149" s="8">
        <v>6.5</v>
      </c>
      <c r="H149" s="8">
        <v>106.02</v>
      </c>
      <c r="I149" s="8">
        <v>8.3000000000000007</v>
      </c>
      <c r="J149" s="8">
        <v>13</v>
      </c>
    </row>
    <row r="150" spans="1:10" ht="14.25" customHeight="1">
      <c r="A150" s="8">
        <v>4078</v>
      </c>
      <c r="B150" s="8" t="s">
        <v>60</v>
      </c>
      <c r="C150" s="8" t="s">
        <v>35</v>
      </c>
      <c r="D150" s="8" t="s">
        <v>29</v>
      </c>
      <c r="E150" s="8" t="s">
        <v>53</v>
      </c>
      <c r="F150" s="8">
        <v>155</v>
      </c>
      <c r="G150" s="8">
        <v>12</v>
      </c>
      <c r="H150" s="8">
        <v>62.49</v>
      </c>
      <c r="I150" s="8">
        <v>10</v>
      </c>
      <c r="J150" s="8">
        <v>9</v>
      </c>
    </row>
    <row r="151" spans="1:10" ht="14.25" customHeight="1">
      <c r="A151" s="8">
        <v>4324</v>
      </c>
      <c r="B151" s="8" t="s">
        <v>61</v>
      </c>
      <c r="C151" s="8" t="s">
        <v>35</v>
      </c>
      <c r="D151" s="8" t="s">
        <v>36</v>
      </c>
      <c r="E151" s="8" t="s">
        <v>53</v>
      </c>
      <c r="F151" s="8">
        <v>102</v>
      </c>
      <c r="G151" s="8">
        <v>4.2</v>
      </c>
      <c r="H151" s="8">
        <v>54.2</v>
      </c>
      <c r="I151" s="8">
        <v>8.3000000000000007</v>
      </c>
      <c r="J151" s="8">
        <v>10</v>
      </c>
    </row>
    <row r="152" spans="1:10" ht="14.25" customHeight="1">
      <c r="A152" s="8">
        <v>4125</v>
      </c>
      <c r="B152" s="8" t="s">
        <v>34</v>
      </c>
      <c r="C152" s="8" t="s">
        <v>45</v>
      </c>
      <c r="D152" s="8" t="s">
        <v>41</v>
      </c>
      <c r="E152" s="8" t="s">
        <v>30</v>
      </c>
      <c r="F152" s="8">
        <v>168</v>
      </c>
      <c r="G152" s="8">
        <v>12.4</v>
      </c>
      <c r="H152" s="8">
        <v>74.239999999999995</v>
      </c>
      <c r="I152" s="8">
        <v>10</v>
      </c>
      <c r="J152" s="8">
        <v>9</v>
      </c>
    </row>
    <row r="153" spans="1:10" ht="14.25" customHeight="1">
      <c r="A153" s="8">
        <v>4219</v>
      </c>
      <c r="B153" s="8" t="s">
        <v>55</v>
      </c>
      <c r="C153" s="8" t="s">
        <v>28</v>
      </c>
      <c r="D153" s="8" t="s">
        <v>36</v>
      </c>
      <c r="E153" s="8" t="s">
        <v>42</v>
      </c>
      <c r="F153" s="8">
        <v>94</v>
      </c>
      <c r="G153" s="8">
        <v>2.4</v>
      </c>
      <c r="H153" s="8">
        <v>23.37</v>
      </c>
      <c r="I153" s="8">
        <v>8.4</v>
      </c>
      <c r="J153" s="8">
        <v>4</v>
      </c>
    </row>
    <row r="154" spans="1:10" ht="14.25" customHeight="1">
      <c r="A154" s="8">
        <v>4235</v>
      </c>
      <c r="B154" s="8" t="s">
        <v>27</v>
      </c>
      <c r="C154" s="8" t="s">
        <v>28</v>
      </c>
      <c r="D154" s="8" t="s">
        <v>41</v>
      </c>
      <c r="E154" s="8" t="s">
        <v>38</v>
      </c>
      <c r="F154" s="8">
        <v>188</v>
      </c>
      <c r="G154" s="8">
        <v>11.4</v>
      </c>
      <c r="H154" s="8">
        <v>75.06</v>
      </c>
      <c r="I154" s="8">
        <v>8.8000000000000007</v>
      </c>
      <c r="J154" s="8">
        <v>8</v>
      </c>
    </row>
    <row r="155" spans="1:10" ht="14.25" customHeight="1">
      <c r="A155" s="8">
        <v>4239</v>
      </c>
      <c r="B155" s="8" t="s">
        <v>58</v>
      </c>
      <c r="C155" s="8" t="s">
        <v>45</v>
      </c>
      <c r="D155" s="8" t="s">
        <v>41</v>
      </c>
      <c r="E155" s="8" t="s">
        <v>30</v>
      </c>
      <c r="F155" s="8">
        <v>196</v>
      </c>
      <c r="G155" s="8">
        <v>7.3</v>
      </c>
      <c r="H155" s="8">
        <v>109.99</v>
      </c>
      <c r="I155" s="8">
        <v>8</v>
      </c>
      <c r="J155" s="8">
        <v>0</v>
      </c>
    </row>
    <row r="156" spans="1:10" ht="14.25" customHeight="1">
      <c r="A156" s="8">
        <v>4313</v>
      </c>
      <c r="B156" s="8" t="s">
        <v>61</v>
      </c>
      <c r="C156" s="8" t="s">
        <v>28</v>
      </c>
      <c r="D156" s="8" t="s">
        <v>29</v>
      </c>
      <c r="E156" s="8" t="s">
        <v>49</v>
      </c>
      <c r="F156" s="8">
        <v>82</v>
      </c>
      <c r="G156" s="8">
        <v>6.3</v>
      </c>
      <c r="H156" s="8">
        <v>17.97</v>
      </c>
      <c r="I156" s="8">
        <v>5.9</v>
      </c>
      <c r="J156" s="8">
        <v>7</v>
      </c>
    </row>
    <row r="157" spans="1:10" ht="14.25" customHeight="1">
      <c r="A157" s="8">
        <v>4090</v>
      </c>
      <c r="B157" s="8" t="s">
        <v>44</v>
      </c>
      <c r="C157" s="8" t="s">
        <v>52</v>
      </c>
      <c r="D157" s="8" t="s">
        <v>47</v>
      </c>
      <c r="E157" s="8" t="s">
        <v>53</v>
      </c>
      <c r="F157" s="8">
        <v>174</v>
      </c>
      <c r="G157" s="8">
        <v>4</v>
      </c>
      <c r="H157" s="8">
        <v>66.489999999999995</v>
      </c>
      <c r="I157" s="8">
        <v>7.7</v>
      </c>
      <c r="J157" s="8">
        <v>8</v>
      </c>
    </row>
    <row r="158" spans="1:10" ht="14.25" customHeight="1">
      <c r="A158" s="8">
        <v>4126</v>
      </c>
      <c r="B158" s="8" t="s">
        <v>55</v>
      </c>
      <c r="C158" s="8" t="s">
        <v>59</v>
      </c>
      <c r="D158" s="8" t="s">
        <v>47</v>
      </c>
      <c r="E158" s="8" t="s">
        <v>38</v>
      </c>
      <c r="F158" s="8">
        <v>125</v>
      </c>
      <c r="G158" s="8">
        <v>5.8</v>
      </c>
      <c r="H158" s="8">
        <v>39.6</v>
      </c>
      <c r="I158" s="8">
        <v>8.8000000000000007</v>
      </c>
      <c r="J158" s="8">
        <v>0</v>
      </c>
    </row>
    <row r="159" spans="1:10" ht="14.25" customHeight="1">
      <c r="A159" s="8">
        <v>4177</v>
      </c>
      <c r="B159" s="8" t="s">
        <v>58</v>
      </c>
      <c r="C159" s="8" t="s">
        <v>52</v>
      </c>
      <c r="D159" s="8" t="s">
        <v>47</v>
      </c>
      <c r="E159" s="8" t="s">
        <v>42</v>
      </c>
      <c r="F159" s="8">
        <v>38</v>
      </c>
      <c r="G159" s="8">
        <v>3.1</v>
      </c>
      <c r="H159" s="8">
        <v>8.76</v>
      </c>
      <c r="I159" s="8">
        <v>5.7</v>
      </c>
      <c r="J159" s="8">
        <v>2</v>
      </c>
    </row>
    <row r="160" spans="1:10" ht="14.25" customHeight="1">
      <c r="A160" s="8">
        <v>4284</v>
      </c>
      <c r="B160" s="8" t="s">
        <v>55</v>
      </c>
      <c r="C160" s="8" t="s">
        <v>59</v>
      </c>
      <c r="D160" s="8" t="s">
        <v>36</v>
      </c>
      <c r="E160" s="8" t="s">
        <v>49</v>
      </c>
      <c r="F160" s="8">
        <v>23</v>
      </c>
      <c r="H160" s="8">
        <v>3.34</v>
      </c>
      <c r="I160" s="8">
        <v>7.3</v>
      </c>
      <c r="J160" s="8">
        <v>5</v>
      </c>
    </row>
    <row r="161" spans="1:10" ht="14.25" customHeight="1">
      <c r="A161" s="8">
        <v>4160</v>
      </c>
      <c r="B161" s="8" t="s">
        <v>27</v>
      </c>
      <c r="C161" s="8" t="s">
        <v>28</v>
      </c>
      <c r="D161" s="8" t="s">
        <v>41</v>
      </c>
      <c r="E161" s="8" t="s">
        <v>49</v>
      </c>
      <c r="F161" s="8">
        <v>189</v>
      </c>
      <c r="G161" s="8">
        <v>8.1999999999999993</v>
      </c>
      <c r="H161" s="8">
        <v>72.31</v>
      </c>
      <c r="I161" s="8">
        <v>8.4</v>
      </c>
      <c r="J161" s="8">
        <v>8</v>
      </c>
    </row>
    <row r="162" spans="1:10" ht="14.25" customHeight="1">
      <c r="A162" s="8">
        <v>4310</v>
      </c>
      <c r="B162" s="8" t="s">
        <v>34</v>
      </c>
      <c r="C162" s="8" t="s">
        <v>45</v>
      </c>
      <c r="D162" s="8" t="s">
        <v>36</v>
      </c>
      <c r="E162" s="8" t="s">
        <v>53</v>
      </c>
      <c r="F162" s="8">
        <v>108</v>
      </c>
      <c r="G162" s="8">
        <v>3.4</v>
      </c>
      <c r="H162" s="8">
        <v>57.59</v>
      </c>
      <c r="I162" s="8">
        <v>9.6</v>
      </c>
      <c r="J162" s="8">
        <v>0</v>
      </c>
    </row>
    <row r="163" spans="1:10" ht="14.25" customHeight="1">
      <c r="A163" s="8">
        <v>4054</v>
      </c>
      <c r="B163" s="8" t="s">
        <v>61</v>
      </c>
      <c r="C163" s="8" t="s">
        <v>28</v>
      </c>
      <c r="D163" s="8" t="s">
        <v>29</v>
      </c>
      <c r="E163" s="8" t="s">
        <v>53</v>
      </c>
      <c r="F163" s="8">
        <v>146</v>
      </c>
      <c r="G163" s="8">
        <v>8</v>
      </c>
      <c r="H163" s="8">
        <v>38.24</v>
      </c>
      <c r="I163" s="8">
        <v>7.8</v>
      </c>
      <c r="J163" s="8">
        <v>10</v>
      </c>
    </row>
    <row r="164" spans="1:10" ht="14.25" customHeight="1">
      <c r="A164" s="8">
        <v>4032</v>
      </c>
      <c r="B164" s="8" t="s">
        <v>55</v>
      </c>
      <c r="C164" s="8" t="s">
        <v>52</v>
      </c>
      <c r="D164" s="8" t="s">
        <v>41</v>
      </c>
      <c r="E164" s="8" t="s">
        <v>53</v>
      </c>
      <c r="F164" s="8">
        <v>53</v>
      </c>
      <c r="G164" s="8">
        <v>13.9</v>
      </c>
      <c r="H164" s="8">
        <v>28.51</v>
      </c>
      <c r="I164" s="8">
        <v>5</v>
      </c>
      <c r="J164" s="8">
        <v>4</v>
      </c>
    </row>
    <row r="165" spans="1:10" ht="14.25" customHeight="1">
      <c r="A165" s="8">
        <v>4091</v>
      </c>
      <c r="B165" s="8" t="s">
        <v>58</v>
      </c>
      <c r="C165" s="8" t="s">
        <v>59</v>
      </c>
      <c r="D165" s="8" t="s">
        <v>47</v>
      </c>
      <c r="E165" s="8" t="s">
        <v>38</v>
      </c>
      <c r="F165" s="8">
        <v>30</v>
      </c>
      <c r="G165" s="8">
        <v>4.4000000000000004</v>
      </c>
      <c r="H165" s="8">
        <v>15.82</v>
      </c>
      <c r="I165" s="8">
        <v>7.9</v>
      </c>
      <c r="J165" s="8">
        <v>1</v>
      </c>
    </row>
    <row r="166" spans="1:10" ht="14.25" customHeight="1">
      <c r="A166" s="8">
        <v>4010</v>
      </c>
      <c r="B166" s="8" t="s">
        <v>44</v>
      </c>
      <c r="C166" s="8" t="s">
        <v>28</v>
      </c>
      <c r="D166" s="8" t="s">
        <v>29</v>
      </c>
      <c r="E166" s="8" t="s">
        <v>53</v>
      </c>
      <c r="F166" s="8">
        <v>108</v>
      </c>
      <c r="G166" s="8">
        <v>9.9</v>
      </c>
      <c r="H166" s="8">
        <v>42.58</v>
      </c>
      <c r="I166" s="8">
        <v>9.4</v>
      </c>
      <c r="J166" s="8">
        <v>1</v>
      </c>
    </row>
    <row r="167" spans="1:10" ht="14.25" customHeight="1">
      <c r="A167" s="8">
        <v>4259</v>
      </c>
      <c r="B167" s="8" t="s">
        <v>27</v>
      </c>
      <c r="C167" s="8" t="s">
        <v>35</v>
      </c>
      <c r="D167" s="8" t="s">
        <v>41</v>
      </c>
      <c r="E167" s="8" t="s">
        <v>38</v>
      </c>
      <c r="F167" s="8">
        <v>164</v>
      </c>
      <c r="G167" s="8">
        <v>4.5999999999999996</v>
      </c>
      <c r="H167" s="8">
        <v>71.819999999999993</v>
      </c>
      <c r="I167" s="8">
        <v>8.6</v>
      </c>
      <c r="J167" s="8">
        <v>11</v>
      </c>
    </row>
    <row r="168" spans="1:10" ht="14.25" customHeight="1">
      <c r="A168" s="8">
        <v>4316</v>
      </c>
      <c r="B168" s="8" t="s">
        <v>58</v>
      </c>
      <c r="C168" s="8" t="s">
        <v>45</v>
      </c>
      <c r="D168" s="8" t="s">
        <v>36</v>
      </c>
      <c r="E168" s="8" t="s">
        <v>42</v>
      </c>
      <c r="F168" s="8">
        <v>140</v>
      </c>
      <c r="G168" s="8">
        <v>2.1</v>
      </c>
      <c r="H168" s="8">
        <v>65.8</v>
      </c>
      <c r="I168" s="8">
        <v>8.5</v>
      </c>
      <c r="J168" s="8">
        <v>0</v>
      </c>
    </row>
    <row r="169" spans="1:10" ht="14.25" customHeight="1">
      <c r="A169" s="8">
        <v>4086</v>
      </c>
      <c r="B169" s="8" t="s">
        <v>27</v>
      </c>
      <c r="C169" s="8" t="s">
        <v>52</v>
      </c>
      <c r="D169" s="8" t="s">
        <v>29</v>
      </c>
      <c r="E169" s="8" t="s">
        <v>49</v>
      </c>
      <c r="F169" s="8">
        <v>58</v>
      </c>
      <c r="G169" s="8">
        <v>7.9</v>
      </c>
      <c r="H169" s="8">
        <v>14</v>
      </c>
      <c r="I169" s="8">
        <v>7.5</v>
      </c>
      <c r="J169" s="8">
        <v>4</v>
      </c>
    </row>
    <row r="170" spans="1:10" ht="14.25" customHeight="1">
      <c r="A170" s="8">
        <v>4111</v>
      </c>
      <c r="B170" s="8" t="s">
        <v>58</v>
      </c>
      <c r="C170" s="8" t="s">
        <v>45</v>
      </c>
      <c r="D170" s="8" t="s">
        <v>47</v>
      </c>
      <c r="E170" s="8" t="s">
        <v>49</v>
      </c>
      <c r="F170" s="8">
        <v>224</v>
      </c>
      <c r="G170" s="8">
        <v>3.9</v>
      </c>
      <c r="H170" s="8">
        <v>70.08</v>
      </c>
      <c r="I170" s="8">
        <v>11</v>
      </c>
      <c r="J170" s="8">
        <v>18</v>
      </c>
    </row>
    <row r="171" spans="1:10" ht="14.25" customHeight="1">
      <c r="A171" s="8">
        <v>4048</v>
      </c>
      <c r="B171" s="8" t="s">
        <v>40</v>
      </c>
      <c r="C171" s="8" t="s">
        <v>45</v>
      </c>
      <c r="D171" s="8" t="s">
        <v>41</v>
      </c>
      <c r="E171" s="8" t="s">
        <v>42</v>
      </c>
      <c r="F171" s="8">
        <v>55</v>
      </c>
      <c r="G171" s="8">
        <v>12.1</v>
      </c>
      <c r="H171" s="8">
        <v>19.649999999999999</v>
      </c>
      <c r="I171" s="8">
        <v>9.5</v>
      </c>
      <c r="J171" s="8">
        <v>3</v>
      </c>
    </row>
    <row r="172" spans="1:10" ht="14.25" customHeight="1">
      <c r="A172" s="8">
        <v>4186</v>
      </c>
      <c r="B172" s="8" t="s">
        <v>27</v>
      </c>
      <c r="C172" s="8" t="s">
        <v>59</v>
      </c>
      <c r="D172" s="8" t="s">
        <v>47</v>
      </c>
      <c r="E172" s="8" t="s">
        <v>38</v>
      </c>
      <c r="F172" s="8">
        <v>151</v>
      </c>
      <c r="G172" s="8">
        <v>3.9</v>
      </c>
      <c r="H172" s="8">
        <v>73.31</v>
      </c>
      <c r="I172" s="8">
        <v>8.1</v>
      </c>
      <c r="J172" s="8">
        <v>4</v>
      </c>
    </row>
    <row r="173" spans="1:10" ht="14.25" customHeight="1">
      <c r="A173" s="8">
        <v>4119</v>
      </c>
      <c r="B173" s="8" t="s">
        <v>40</v>
      </c>
      <c r="D173" s="8" t="s">
        <v>41</v>
      </c>
      <c r="E173" s="8" t="s">
        <v>42</v>
      </c>
      <c r="F173" s="8">
        <v>121</v>
      </c>
      <c r="G173" s="8">
        <v>15.1</v>
      </c>
      <c r="H173" s="8">
        <v>27.21</v>
      </c>
      <c r="I173" s="8">
        <v>6.9</v>
      </c>
      <c r="J173" s="8">
        <v>7</v>
      </c>
    </row>
    <row r="174" spans="1:10" ht="14.25" customHeight="1">
      <c r="A174" s="8">
        <v>4051</v>
      </c>
      <c r="B174" s="8" t="s">
        <v>34</v>
      </c>
      <c r="C174" s="8" t="s">
        <v>28</v>
      </c>
      <c r="D174" s="8" t="s">
        <v>36</v>
      </c>
      <c r="E174" s="8" t="s">
        <v>38</v>
      </c>
      <c r="F174" s="8">
        <v>164</v>
      </c>
      <c r="G174" s="8">
        <v>2.4</v>
      </c>
      <c r="H174" s="8">
        <v>75.099999999999994</v>
      </c>
      <c r="I174" s="8">
        <v>9.4</v>
      </c>
      <c r="J174" s="8">
        <v>2</v>
      </c>
    </row>
    <row r="175" spans="1:10" ht="14.25" customHeight="1">
      <c r="A175" s="8">
        <v>4217</v>
      </c>
      <c r="B175" s="8" t="s">
        <v>55</v>
      </c>
      <c r="C175" s="8" t="s">
        <v>28</v>
      </c>
      <c r="D175" s="8" t="s">
        <v>36</v>
      </c>
      <c r="E175" s="8" t="s">
        <v>49</v>
      </c>
      <c r="F175" s="8">
        <v>165</v>
      </c>
      <c r="G175" s="8">
        <v>3.5</v>
      </c>
      <c r="H175" s="8">
        <v>63.46</v>
      </c>
      <c r="I175" s="8">
        <v>9.9</v>
      </c>
      <c r="J175" s="8">
        <v>16</v>
      </c>
    </row>
    <row r="176" spans="1:10" ht="14.25" customHeight="1">
      <c r="A176" s="8">
        <v>4140</v>
      </c>
      <c r="B176" s="8" t="s">
        <v>44</v>
      </c>
      <c r="C176" s="8" t="s">
        <v>28</v>
      </c>
      <c r="D176" s="8" t="s">
        <v>29</v>
      </c>
      <c r="E176" s="8" t="s">
        <v>38</v>
      </c>
      <c r="F176" s="8">
        <v>118</v>
      </c>
      <c r="G176" s="8">
        <v>12.9</v>
      </c>
      <c r="H176" s="8">
        <v>39.08</v>
      </c>
      <c r="I176" s="8">
        <v>8.5</v>
      </c>
      <c r="J176" s="8">
        <v>18</v>
      </c>
    </row>
    <row r="177" spans="1:10" ht="14.25" customHeight="1">
      <c r="A177" s="8">
        <v>4168</v>
      </c>
      <c r="B177" s="8" t="s">
        <v>34</v>
      </c>
      <c r="C177" s="8" t="s">
        <v>59</v>
      </c>
      <c r="D177" s="8" t="s">
        <v>29</v>
      </c>
      <c r="E177" s="8" t="s">
        <v>30</v>
      </c>
      <c r="F177" s="8">
        <v>225</v>
      </c>
      <c r="G177" s="8">
        <v>10.3</v>
      </c>
      <c r="H177" s="8">
        <v>67.900000000000006</v>
      </c>
      <c r="I177" s="8">
        <v>9.5</v>
      </c>
      <c r="J177" s="8">
        <v>13</v>
      </c>
    </row>
    <row r="178" spans="1:10" ht="14.25" customHeight="1">
      <c r="A178" s="8">
        <v>4326</v>
      </c>
      <c r="B178" s="8" t="s">
        <v>61</v>
      </c>
      <c r="C178" s="8" t="s">
        <v>52</v>
      </c>
      <c r="D178" s="8" t="s">
        <v>41</v>
      </c>
      <c r="E178" s="8" t="s">
        <v>53</v>
      </c>
      <c r="F178" s="8">
        <v>174</v>
      </c>
      <c r="G178" s="8">
        <v>13.2</v>
      </c>
      <c r="H178" s="8">
        <v>67.02</v>
      </c>
      <c r="I178" s="8">
        <v>9.9</v>
      </c>
      <c r="J178" s="8">
        <v>9</v>
      </c>
    </row>
    <row r="179" spans="1:10" ht="14.25" customHeight="1">
      <c r="A179" s="8">
        <v>4320</v>
      </c>
      <c r="B179" s="8" t="s">
        <v>60</v>
      </c>
      <c r="C179" s="8" t="s">
        <v>52</v>
      </c>
      <c r="D179" s="8" t="s">
        <v>29</v>
      </c>
      <c r="E179" s="8" t="s">
        <v>49</v>
      </c>
      <c r="F179" s="8">
        <v>270</v>
      </c>
      <c r="G179" s="8">
        <v>9.6999999999999993</v>
      </c>
      <c r="H179" s="8">
        <v>45.76</v>
      </c>
      <c r="I179" s="8">
        <v>8.4</v>
      </c>
      <c r="J179" s="8">
        <v>18</v>
      </c>
    </row>
    <row r="180" spans="1:10" ht="14.25" customHeight="1">
      <c r="A180" s="8">
        <v>4319</v>
      </c>
      <c r="B180" s="8" t="s">
        <v>27</v>
      </c>
      <c r="C180" s="8" t="s">
        <v>45</v>
      </c>
      <c r="D180" s="8" t="s">
        <v>41</v>
      </c>
      <c r="E180" s="8" t="s">
        <v>42</v>
      </c>
      <c r="F180" s="8">
        <v>167</v>
      </c>
      <c r="G180" s="8">
        <v>15.3</v>
      </c>
      <c r="H180" s="8">
        <v>74.290000000000006</v>
      </c>
      <c r="I180" s="8">
        <v>9.1999999999999993</v>
      </c>
      <c r="J180" s="8">
        <v>14</v>
      </c>
    </row>
    <row r="181" spans="1:10" ht="14.25" customHeight="1">
      <c r="A181" s="8">
        <v>4279</v>
      </c>
      <c r="B181" s="8" t="s">
        <v>40</v>
      </c>
      <c r="C181" s="8" t="s">
        <v>28</v>
      </c>
      <c r="D181" s="8" t="s">
        <v>41</v>
      </c>
      <c r="E181" s="8" t="s">
        <v>53</v>
      </c>
      <c r="F181" s="8">
        <v>44</v>
      </c>
      <c r="G181" s="8">
        <v>17</v>
      </c>
      <c r="H181" s="8">
        <v>21.32</v>
      </c>
      <c r="I181" s="8">
        <v>8.4</v>
      </c>
      <c r="J181" s="8">
        <v>4</v>
      </c>
    </row>
    <row r="182" spans="1:10" ht="14.25" customHeight="1">
      <c r="A182" s="8">
        <v>4317</v>
      </c>
      <c r="B182" s="8" t="s">
        <v>27</v>
      </c>
      <c r="C182" s="8" t="s">
        <v>59</v>
      </c>
      <c r="D182" s="8" t="s">
        <v>29</v>
      </c>
      <c r="E182" s="8" t="s">
        <v>42</v>
      </c>
      <c r="F182" s="8">
        <v>130</v>
      </c>
      <c r="G182" s="8">
        <v>11.4</v>
      </c>
      <c r="H182" s="8">
        <v>70.5</v>
      </c>
      <c r="I182" s="8">
        <v>8.8000000000000007</v>
      </c>
      <c r="J182" s="8">
        <v>3</v>
      </c>
    </row>
    <row r="183" spans="1:10" ht="14.25" customHeight="1">
      <c r="A183" s="8">
        <v>4242</v>
      </c>
      <c r="B183" s="8" t="s">
        <v>34</v>
      </c>
      <c r="C183" s="8" t="s">
        <v>45</v>
      </c>
      <c r="D183" s="8" t="s">
        <v>36</v>
      </c>
      <c r="E183" s="8" t="s">
        <v>42</v>
      </c>
      <c r="F183" s="8">
        <v>257</v>
      </c>
      <c r="G183" s="8">
        <v>3</v>
      </c>
      <c r="H183" s="8">
        <v>109.17</v>
      </c>
      <c r="I183" s="8">
        <v>8.6999999999999993</v>
      </c>
      <c r="J183" s="8">
        <v>17</v>
      </c>
    </row>
    <row r="184" spans="1:10" ht="14.25" customHeight="1">
      <c r="A184" s="8">
        <v>4009</v>
      </c>
      <c r="B184" s="8" t="s">
        <v>58</v>
      </c>
      <c r="C184" s="8" t="s">
        <v>52</v>
      </c>
      <c r="D184" s="8" t="s">
        <v>29</v>
      </c>
      <c r="E184" s="8" t="s">
        <v>49</v>
      </c>
      <c r="F184" s="8">
        <v>206</v>
      </c>
      <c r="G184" s="8">
        <v>7.5</v>
      </c>
      <c r="H184" s="8">
        <v>46.04</v>
      </c>
      <c r="I184" s="8">
        <v>8.1999999999999993</v>
      </c>
      <c r="J184" s="8">
        <v>12</v>
      </c>
    </row>
    <row r="185" spans="1:10" ht="14.25" customHeight="1">
      <c r="A185" s="8">
        <v>4101</v>
      </c>
      <c r="B185" s="8" t="s">
        <v>55</v>
      </c>
      <c r="C185" s="8" t="s">
        <v>35</v>
      </c>
      <c r="D185" s="8" t="s">
        <v>29</v>
      </c>
      <c r="E185" s="8" t="s">
        <v>42</v>
      </c>
      <c r="F185" s="8">
        <v>204</v>
      </c>
      <c r="G185" s="8">
        <v>2.4</v>
      </c>
      <c r="H185" s="8">
        <v>46.53</v>
      </c>
      <c r="I185" s="8">
        <v>9</v>
      </c>
      <c r="J185" s="8">
        <v>8</v>
      </c>
    </row>
    <row r="186" spans="1:10" ht="14.25" customHeight="1">
      <c r="A186" s="8">
        <v>4198</v>
      </c>
      <c r="B186" s="8" t="s">
        <v>40</v>
      </c>
      <c r="C186" s="8" t="s">
        <v>59</v>
      </c>
      <c r="D186" s="8" t="s">
        <v>36</v>
      </c>
      <c r="E186" s="8" t="s">
        <v>49</v>
      </c>
      <c r="F186" s="8">
        <v>147</v>
      </c>
      <c r="G186" s="8">
        <v>2.7</v>
      </c>
      <c r="H186" s="8">
        <v>84.65</v>
      </c>
      <c r="I186" s="8">
        <v>8.9</v>
      </c>
      <c r="J186" s="8">
        <v>11</v>
      </c>
    </row>
    <row r="187" spans="1:10" ht="14.25" customHeight="1">
      <c r="A187" s="8">
        <v>4171</v>
      </c>
      <c r="B187" s="8" t="s">
        <v>60</v>
      </c>
      <c r="C187" s="8" t="s">
        <v>59</v>
      </c>
      <c r="D187" s="8" t="s">
        <v>47</v>
      </c>
      <c r="E187" s="8" t="s">
        <v>38</v>
      </c>
      <c r="F187" s="8">
        <v>207</v>
      </c>
      <c r="G187" s="8">
        <v>2.5</v>
      </c>
      <c r="H187" s="8">
        <v>78.92</v>
      </c>
      <c r="I187" s="8">
        <v>8.6</v>
      </c>
      <c r="J187" s="8">
        <v>4</v>
      </c>
    </row>
    <row r="188" spans="1:10" ht="14.25" customHeight="1">
      <c r="A188" s="8">
        <v>4039</v>
      </c>
      <c r="B188" s="8" t="s">
        <v>34</v>
      </c>
      <c r="C188" s="8" t="s">
        <v>35</v>
      </c>
      <c r="D188" s="8" t="s">
        <v>36</v>
      </c>
      <c r="E188" s="8" t="s">
        <v>38</v>
      </c>
      <c r="F188" s="8">
        <v>198</v>
      </c>
      <c r="G188" s="8">
        <v>5.0999999999999996</v>
      </c>
      <c r="H188" s="8">
        <v>76.16</v>
      </c>
      <c r="I188" s="8">
        <v>7.9</v>
      </c>
      <c r="J188" s="8">
        <v>6</v>
      </c>
    </row>
    <row r="189" spans="1:10" ht="14.25" customHeight="1">
      <c r="A189" s="8">
        <v>4231</v>
      </c>
      <c r="B189" s="8" t="s">
        <v>61</v>
      </c>
      <c r="C189" s="8" t="s">
        <v>35</v>
      </c>
      <c r="D189" s="8" t="s">
        <v>47</v>
      </c>
      <c r="E189" s="8" t="s">
        <v>49</v>
      </c>
      <c r="F189" s="8">
        <v>57</v>
      </c>
      <c r="G189" s="8">
        <v>1.9</v>
      </c>
      <c r="H189" s="8">
        <v>33.17</v>
      </c>
      <c r="I189" s="8">
        <v>8.3000000000000007</v>
      </c>
      <c r="J189" s="8">
        <v>2</v>
      </c>
    </row>
    <row r="190" spans="1:10" ht="14.25" customHeight="1">
      <c r="A190" s="8">
        <v>4270</v>
      </c>
      <c r="B190" s="8" t="s">
        <v>34</v>
      </c>
      <c r="C190" s="8" t="s">
        <v>28</v>
      </c>
      <c r="D190" s="8" t="s">
        <v>47</v>
      </c>
      <c r="E190" s="8" t="s">
        <v>53</v>
      </c>
      <c r="F190" s="8">
        <v>116</v>
      </c>
      <c r="G190" s="8">
        <v>5.2</v>
      </c>
      <c r="H190" s="8">
        <v>45.35</v>
      </c>
      <c r="I190" s="8">
        <v>9.3000000000000007</v>
      </c>
      <c r="J190" s="8">
        <v>0</v>
      </c>
    </row>
    <row r="191" spans="1:10" ht="14.25" customHeight="1">
      <c r="A191" s="8">
        <v>4084</v>
      </c>
      <c r="B191" s="8" t="s">
        <v>60</v>
      </c>
      <c r="C191" s="8" t="s">
        <v>45</v>
      </c>
      <c r="D191" s="8" t="s">
        <v>47</v>
      </c>
      <c r="E191" s="8" t="s">
        <v>38</v>
      </c>
      <c r="F191" s="8">
        <v>184</v>
      </c>
      <c r="G191" s="8">
        <v>4.3</v>
      </c>
      <c r="H191" s="8">
        <v>78.150000000000006</v>
      </c>
      <c r="I191" s="8">
        <v>6.3</v>
      </c>
      <c r="J191" s="8">
        <v>12</v>
      </c>
    </row>
    <row r="192" spans="1:10" ht="14.25" customHeight="1">
      <c r="A192" s="8">
        <v>4067</v>
      </c>
      <c r="B192" s="8" t="s">
        <v>61</v>
      </c>
      <c r="C192" s="8" t="s">
        <v>45</v>
      </c>
      <c r="D192" s="8" t="s">
        <v>36</v>
      </c>
      <c r="E192" s="8" t="s">
        <v>30</v>
      </c>
      <c r="F192" s="8">
        <v>111</v>
      </c>
      <c r="G192" s="8">
        <v>1.9</v>
      </c>
      <c r="H192" s="8">
        <v>53.02</v>
      </c>
      <c r="I192" s="8">
        <v>7.6</v>
      </c>
      <c r="J192" s="8">
        <v>9</v>
      </c>
    </row>
    <row r="193" spans="1:10" ht="14.25" customHeight="1">
      <c r="A193" s="8">
        <v>4080</v>
      </c>
      <c r="B193" s="8" t="s">
        <v>60</v>
      </c>
      <c r="C193" s="8" t="s">
        <v>59</v>
      </c>
      <c r="D193" s="8" t="s">
        <v>36</v>
      </c>
      <c r="E193" s="8" t="s">
        <v>38</v>
      </c>
      <c r="F193" s="8">
        <v>171</v>
      </c>
      <c r="G193" s="8">
        <v>1.5</v>
      </c>
      <c r="H193" s="8">
        <v>44.14</v>
      </c>
      <c r="I193" s="8">
        <v>8.6999999999999993</v>
      </c>
      <c r="J193" s="8">
        <v>9</v>
      </c>
    </row>
    <row r="194" spans="1:10" ht="14.25" customHeight="1">
      <c r="A194" s="8">
        <v>4207</v>
      </c>
      <c r="B194" s="8" t="s">
        <v>27</v>
      </c>
      <c r="C194" s="8" t="s">
        <v>28</v>
      </c>
      <c r="D194" s="8" t="s">
        <v>47</v>
      </c>
      <c r="E194" s="8" t="s">
        <v>49</v>
      </c>
      <c r="F194" s="8">
        <v>5</v>
      </c>
      <c r="G194" s="8">
        <v>3.6</v>
      </c>
      <c r="H194" s="8">
        <v>2.64</v>
      </c>
      <c r="I194" s="8">
        <v>9</v>
      </c>
      <c r="J194" s="8">
        <v>0</v>
      </c>
    </row>
    <row r="195" spans="1:10" ht="14.25" customHeight="1">
      <c r="A195" s="8">
        <v>4236</v>
      </c>
      <c r="B195" s="8" t="s">
        <v>34</v>
      </c>
      <c r="C195" s="8" t="s">
        <v>59</v>
      </c>
      <c r="D195" s="8" t="s">
        <v>29</v>
      </c>
      <c r="E195" s="8" t="s">
        <v>49</v>
      </c>
      <c r="F195" s="8">
        <v>180</v>
      </c>
      <c r="G195" s="8">
        <v>4.2</v>
      </c>
      <c r="I195" s="8">
        <v>7.4</v>
      </c>
      <c r="J195" s="8">
        <v>14</v>
      </c>
    </row>
    <row r="196" spans="1:10" ht="14.25" customHeight="1">
      <c r="A196" s="8">
        <v>4243</v>
      </c>
      <c r="B196" s="8" t="s">
        <v>40</v>
      </c>
      <c r="C196" s="8" t="s">
        <v>52</v>
      </c>
      <c r="D196" s="8" t="s">
        <v>36</v>
      </c>
      <c r="E196" s="8" t="s">
        <v>53</v>
      </c>
      <c r="F196" s="8">
        <v>177</v>
      </c>
      <c r="G196" s="8">
        <v>2.1</v>
      </c>
      <c r="H196" s="8">
        <v>64.13</v>
      </c>
      <c r="I196" s="8">
        <v>6.6</v>
      </c>
      <c r="J196" s="8">
        <v>12</v>
      </c>
    </row>
    <row r="197" spans="1:10" ht="14.25" customHeight="1">
      <c r="A197" s="8">
        <v>4211</v>
      </c>
      <c r="B197" s="8" t="s">
        <v>55</v>
      </c>
      <c r="C197" s="8" t="s">
        <v>59</v>
      </c>
      <c r="D197" s="8" t="s">
        <v>47</v>
      </c>
      <c r="E197" s="8" t="s">
        <v>42</v>
      </c>
      <c r="F197" s="8">
        <v>270</v>
      </c>
      <c r="G197" s="8">
        <v>3.1</v>
      </c>
      <c r="H197" s="8">
        <v>143.61000000000001</v>
      </c>
      <c r="I197" s="8">
        <v>8.6999999999999993</v>
      </c>
      <c r="J197" s="8">
        <v>20</v>
      </c>
    </row>
    <row r="198" spans="1:10" ht="14.25" customHeight="1">
      <c r="A198" s="8">
        <v>4082</v>
      </c>
      <c r="B198" s="8" t="s">
        <v>60</v>
      </c>
      <c r="C198" s="8" t="s">
        <v>28</v>
      </c>
      <c r="D198" s="8" t="s">
        <v>41</v>
      </c>
      <c r="E198" s="8" t="s">
        <v>53</v>
      </c>
      <c r="F198" s="8">
        <v>236</v>
      </c>
      <c r="G198" s="8">
        <v>13</v>
      </c>
      <c r="H198" s="8">
        <v>41.64</v>
      </c>
      <c r="I198" s="8">
        <v>8.6999999999999993</v>
      </c>
      <c r="J198" s="8">
        <v>12</v>
      </c>
    </row>
    <row r="199" spans="1:10" ht="14.25" customHeight="1">
      <c r="A199" s="8">
        <v>4311</v>
      </c>
      <c r="B199" s="8" t="s">
        <v>44</v>
      </c>
      <c r="C199" s="8" t="s">
        <v>59</v>
      </c>
      <c r="D199" s="8" t="s">
        <v>36</v>
      </c>
      <c r="E199" s="8" t="s">
        <v>30</v>
      </c>
      <c r="F199" s="8">
        <v>187</v>
      </c>
      <c r="G199" s="8">
        <v>3.1</v>
      </c>
      <c r="H199" s="8">
        <v>100.85</v>
      </c>
      <c r="I199" s="8">
        <v>8.3000000000000007</v>
      </c>
      <c r="J199" s="8">
        <v>13</v>
      </c>
    </row>
    <row r="200" spans="1:10" ht="14.25" customHeight="1">
      <c r="A200" s="8">
        <v>4060</v>
      </c>
      <c r="B200" s="8" t="s">
        <v>60</v>
      </c>
      <c r="C200" s="8" t="s">
        <v>52</v>
      </c>
      <c r="D200" s="8" t="s">
        <v>47</v>
      </c>
      <c r="E200" s="8" t="s">
        <v>38</v>
      </c>
      <c r="F200" s="8">
        <v>94</v>
      </c>
      <c r="G200" s="8">
        <v>4.5999999999999996</v>
      </c>
      <c r="H200" s="8">
        <v>45.74</v>
      </c>
      <c r="I200" s="8">
        <v>8</v>
      </c>
      <c r="J200" s="8">
        <v>8</v>
      </c>
    </row>
    <row r="201" spans="1:10" ht="14.25" customHeight="1">
      <c r="A201" s="8">
        <v>4296</v>
      </c>
      <c r="B201" s="8" t="s">
        <v>55</v>
      </c>
      <c r="C201" s="8" t="s">
        <v>45</v>
      </c>
      <c r="D201" s="8" t="s">
        <v>36</v>
      </c>
      <c r="E201" s="8" t="s">
        <v>30</v>
      </c>
      <c r="F201" s="8">
        <v>215</v>
      </c>
      <c r="G201" s="8">
        <v>3</v>
      </c>
      <c r="H201" s="8">
        <v>89.58</v>
      </c>
      <c r="I201" s="8">
        <v>8.1</v>
      </c>
      <c r="J201" s="8">
        <v>6</v>
      </c>
    </row>
    <row r="202" spans="1:10" ht="14.25" customHeight="1">
      <c r="A202" s="8">
        <v>4264</v>
      </c>
      <c r="B202" s="8" t="s">
        <v>55</v>
      </c>
      <c r="C202" s="8" t="s">
        <v>35</v>
      </c>
      <c r="D202" s="8" t="s">
        <v>29</v>
      </c>
      <c r="E202" s="8" t="s">
        <v>49</v>
      </c>
      <c r="F202" s="8">
        <v>173</v>
      </c>
      <c r="G202" s="8">
        <v>12.4</v>
      </c>
      <c r="H202" s="8">
        <v>72.92</v>
      </c>
      <c r="I202" s="8">
        <v>7</v>
      </c>
      <c r="J202" s="8">
        <v>8</v>
      </c>
    </row>
    <row r="203" spans="1:10" ht="14.25" customHeight="1">
      <c r="A203" s="8">
        <v>4115</v>
      </c>
      <c r="B203" s="8" t="s">
        <v>40</v>
      </c>
      <c r="C203" s="8" t="s">
        <v>45</v>
      </c>
      <c r="D203" s="8" t="s">
        <v>36</v>
      </c>
      <c r="E203" s="8" t="s">
        <v>42</v>
      </c>
      <c r="F203" s="8">
        <v>178</v>
      </c>
      <c r="G203" s="8">
        <v>3.7</v>
      </c>
      <c r="H203" s="8">
        <v>86.15</v>
      </c>
      <c r="I203" s="8">
        <v>8.1</v>
      </c>
      <c r="J203" s="8">
        <v>12</v>
      </c>
    </row>
    <row r="204" spans="1:10" ht="14.25" customHeight="1">
      <c r="A204" s="8">
        <v>4302</v>
      </c>
      <c r="B204" s="8" t="s">
        <v>40</v>
      </c>
      <c r="C204" s="8" t="s">
        <v>28</v>
      </c>
      <c r="D204" s="8" t="s">
        <v>29</v>
      </c>
      <c r="E204" s="8" t="s">
        <v>30</v>
      </c>
      <c r="F204" s="8">
        <v>124</v>
      </c>
      <c r="G204" s="8">
        <v>7.6</v>
      </c>
      <c r="H204" s="8">
        <v>53.98</v>
      </c>
      <c r="I204" s="8">
        <v>8</v>
      </c>
      <c r="J204" s="8">
        <v>11</v>
      </c>
    </row>
    <row r="205" spans="1:10" ht="14.25" customHeight="1">
      <c r="A205" s="8">
        <v>4011</v>
      </c>
      <c r="B205" s="8" t="s">
        <v>61</v>
      </c>
      <c r="C205" s="8" t="s">
        <v>28</v>
      </c>
      <c r="D205" s="8" t="s">
        <v>36</v>
      </c>
      <c r="E205" s="8" t="s">
        <v>53</v>
      </c>
      <c r="F205" s="8">
        <v>173</v>
      </c>
      <c r="G205" s="8">
        <v>2.8</v>
      </c>
      <c r="H205" s="8">
        <v>38.56</v>
      </c>
      <c r="I205" s="8">
        <v>8.6999999999999993</v>
      </c>
      <c r="J205" s="8">
        <v>5</v>
      </c>
    </row>
    <row r="206" spans="1:10" ht="14.25" customHeight="1">
      <c r="A206" s="8">
        <v>4274</v>
      </c>
      <c r="B206" s="8" t="s">
        <v>60</v>
      </c>
      <c r="C206" s="8" t="s">
        <v>52</v>
      </c>
      <c r="D206" s="8" t="s">
        <v>47</v>
      </c>
      <c r="E206" s="8" t="s">
        <v>30</v>
      </c>
      <c r="F206" s="8">
        <v>47</v>
      </c>
      <c r="G206" s="8">
        <v>2.2999999999999998</v>
      </c>
      <c r="H206" s="8">
        <v>30.73</v>
      </c>
      <c r="I206" s="8">
        <v>7.9</v>
      </c>
      <c r="J206" s="8">
        <v>1</v>
      </c>
    </row>
    <row r="207" spans="1:10" ht="14.25" customHeight="1">
      <c r="A207" s="8">
        <v>4179</v>
      </c>
      <c r="B207" s="8" t="s">
        <v>27</v>
      </c>
      <c r="C207" s="8" t="s">
        <v>59</v>
      </c>
      <c r="D207" s="8" t="s">
        <v>41</v>
      </c>
      <c r="E207" s="8" t="s">
        <v>53</v>
      </c>
      <c r="F207" s="8">
        <v>27</v>
      </c>
      <c r="G207" s="8">
        <v>7.9</v>
      </c>
      <c r="H207" s="8">
        <v>7.97</v>
      </c>
      <c r="I207" s="8">
        <v>7.8</v>
      </c>
      <c r="J207" s="8">
        <v>0</v>
      </c>
    </row>
    <row r="208" spans="1:10" ht="14.25" customHeight="1">
      <c r="A208" s="8">
        <v>4015</v>
      </c>
      <c r="B208" s="8" t="s">
        <v>44</v>
      </c>
      <c r="C208" s="8" t="s">
        <v>45</v>
      </c>
      <c r="D208" s="8" t="s">
        <v>29</v>
      </c>
      <c r="E208" s="8" t="s">
        <v>30</v>
      </c>
      <c r="F208" s="8">
        <v>40</v>
      </c>
      <c r="G208" s="8">
        <v>1.4</v>
      </c>
      <c r="H208" s="8">
        <v>13.19</v>
      </c>
      <c r="I208" s="8">
        <v>8.1</v>
      </c>
      <c r="J208" s="8">
        <v>0</v>
      </c>
    </row>
    <row r="209" spans="1:10" ht="14.25" customHeight="1">
      <c r="A209" s="8">
        <v>4040</v>
      </c>
      <c r="B209" s="8" t="s">
        <v>61</v>
      </c>
      <c r="C209" s="8" t="s">
        <v>52</v>
      </c>
      <c r="D209" s="8" t="s">
        <v>47</v>
      </c>
      <c r="E209" s="8" t="s">
        <v>49</v>
      </c>
      <c r="F209" s="8">
        <v>169</v>
      </c>
      <c r="G209" s="8">
        <v>4.3</v>
      </c>
      <c r="H209" s="8">
        <v>59.75</v>
      </c>
      <c r="I209" s="8">
        <v>9.1999999999999993</v>
      </c>
    </row>
    <row r="210" spans="1:10" ht="14.25" customHeight="1">
      <c r="A210" s="8">
        <v>4109</v>
      </c>
      <c r="B210" s="8" t="s">
        <v>55</v>
      </c>
      <c r="C210" s="8" t="s">
        <v>52</v>
      </c>
      <c r="D210" s="8" t="s">
        <v>29</v>
      </c>
      <c r="E210" s="8" t="s">
        <v>30</v>
      </c>
      <c r="F210" s="8">
        <v>70</v>
      </c>
      <c r="G210" s="8">
        <v>4.7</v>
      </c>
      <c r="H210" s="8">
        <v>14.83</v>
      </c>
      <c r="I210" s="8">
        <v>8.5</v>
      </c>
      <c r="J210" s="8">
        <v>0</v>
      </c>
    </row>
    <row r="211" spans="1:10" ht="14.25" customHeight="1">
      <c r="A211" s="8">
        <v>4176</v>
      </c>
      <c r="B211" s="8" t="s">
        <v>60</v>
      </c>
      <c r="C211" s="8" t="s">
        <v>52</v>
      </c>
      <c r="D211" s="8" t="s">
        <v>41</v>
      </c>
      <c r="E211" s="8" t="s">
        <v>42</v>
      </c>
      <c r="F211" s="8">
        <v>25</v>
      </c>
      <c r="G211" s="8">
        <v>18.600000000000001</v>
      </c>
      <c r="H211" s="8">
        <v>22.58</v>
      </c>
      <c r="I211" s="8">
        <v>6.3</v>
      </c>
      <c r="J211" s="8">
        <v>0</v>
      </c>
    </row>
    <row r="212" spans="1:10" ht="14.25" customHeight="1">
      <c r="A212" s="8">
        <v>4114</v>
      </c>
      <c r="B212" s="8" t="s">
        <v>58</v>
      </c>
      <c r="C212" s="8" t="s">
        <v>35</v>
      </c>
      <c r="D212" s="8" t="s">
        <v>47</v>
      </c>
      <c r="E212" s="8" t="s">
        <v>38</v>
      </c>
      <c r="F212" s="8">
        <v>154</v>
      </c>
      <c r="G212" s="8">
        <v>5.8</v>
      </c>
      <c r="H212" s="8">
        <v>43.98</v>
      </c>
      <c r="I212" s="8">
        <v>6.8</v>
      </c>
    </row>
    <row r="213" spans="1:10" ht="14.25" customHeight="1">
      <c r="A213" s="8">
        <v>4181</v>
      </c>
      <c r="B213" s="8" t="s">
        <v>60</v>
      </c>
      <c r="C213" s="8" t="s">
        <v>28</v>
      </c>
      <c r="D213" s="8" t="s">
        <v>36</v>
      </c>
      <c r="E213" s="8" t="s">
        <v>38</v>
      </c>
      <c r="F213" s="8">
        <v>93</v>
      </c>
      <c r="G213" s="8">
        <v>3.8</v>
      </c>
      <c r="H213" s="8">
        <v>16.489999999999998</v>
      </c>
      <c r="I213" s="8">
        <v>8.1999999999999993</v>
      </c>
      <c r="J213" s="8">
        <v>4</v>
      </c>
    </row>
    <row r="214" spans="1:10" ht="14.25" customHeight="1">
      <c r="A214" s="8">
        <v>4066</v>
      </c>
      <c r="B214" s="8" t="s">
        <v>44</v>
      </c>
      <c r="C214" s="8" t="s">
        <v>59</v>
      </c>
      <c r="D214" s="8" t="s">
        <v>29</v>
      </c>
      <c r="E214" s="8" t="s">
        <v>53</v>
      </c>
      <c r="F214" s="8">
        <v>220</v>
      </c>
      <c r="G214" s="8">
        <v>3.9</v>
      </c>
      <c r="H214" s="8">
        <v>69.3</v>
      </c>
      <c r="I214" s="8">
        <v>7.8</v>
      </c>
      <c r="J214" s="8">
        <v>14</v>
      </c>
    </row>
    <row r="215" spans="1:10" ht="14.25" customHeight="1">
      <c r="A215" s="8">
        <v>4169</v>
      </c>
      <c r="B215" s="8" t="s">
        <v>34</v>
      </c>
      <c r="C215" s="8" t="s">
        <v>35</v>
      </c>
      <c r="D215" s="8" t="s">
        <v>47</v>
      </c>
      <c r="E215" s="8" t="s">
        <v>30</v>
      </c>
      <c r="F215" s="8">
        <v>92</v>
      </c>
      <c r="G215" s="8">
        <v>4.2</v>
      </c>
      <c r="H215" s="8">
        <v>26.87</v>
      </c>
      <c r="I215" s="8">
        <v>8.5</v>
      </c>
      <c r="J215" s="8">
        <v>8</v>
      </c>
    </row>
    <row r="216" spans="1:10" ht="14.25" customHeight="1">
      <c r="A216" s="8">
        <v>4058</v>
      </c>
      <c r="B216" s="8" t="s">
        <v>55</v>
      </c>
      <c r="C216" s="8" t="s">
        <v>28</v>
      </c>
      <c r="D216" s="8" t="s">
        <v>36</v>
      </c>
      <c r="E216" s="8" t="s">
        <v>53</v>
      </c>
      <c r="F216" s="8">
        <v>84</v>
      </c>
      <c r="G216" s="8">
        <v>2.2000000000000002</v>
      </c>
      <c r="H216" s="8">
        <v>21.42</v>
      </c>
      <c r="I216" s="8">
        <v>8</v>
      </c>
      <c r="J216" s="8">
        <v>0</v>
      </c>
    </row>
    <row r="217" spans="1:10" ht="14.25" customHeight="1">
      <c r="A217" s="8">
        <v>4288</v>
      </c>
      <c r="B217" s="8" t="s">
        <v>34</v>
      </c>
      <c r="C217" s="8" t="s">
        <v>45</v>
      </c>
      <c r="D217" s="8" t="s">
        <v>41</v>
      </c>
      <c r="E217" s="8" t="s">
        <v>49</v>
      </c>
      <c r="F217" s="8">
        <v>253</v>
      </c>
      <c r="G217" s="8">
        <v>1.6</v>
      </c>
      <c r="H217" s="8">
        <v>66.91</v>
      </c>
      <c r="I217" s="8">
        <v>8.1999999999999993</v>
      </c>
      <c r="J217" s="8">
        <v>11</v>
      </c>
    </row>
    <row r="218" spans="1:10" ht="14.25" customHeight="1">
      <c r="A218" s="8">
        <v>4255</v>
      </c>
      <c r="B218" s="8" t="s">
        <v>44</v>
      </c>
      <c r="C218" s="8" t="s">
        <v>59</v>
      </c>
      <c r="D218" s="8" t="s">
        <v>36</v>
      </c>
      <c r="E218" s="8" t="s">
        <v>38</v>
      </c>
      <c r="F218" s="8">
        <v>113</v>
      </c>
      <c r="G218" s="8">
        <v>3.5</v>
      </c>
      <c r="H218" s="8">
        <v>-21.04</v>
      </c>
      <c r="I218" s="8">
        <v>8.6999999999999993</v>
      </c>
      <c r="J218" s="8">
        <v>5</v>
      </c>
    </row>
    <row r="219" spans="1:10" ht="14.25" customHeight="1">
      <c r="A219" s="8">
        <v>4024</v>
      </c>
      <c r="B219" s="8" t="s">
        <v>34</v>
      </c>
      <c r="C219" s="8" t="s">
        <v>45</v>
      </c>
      <c r="D219" s="8" t="s">
        <v>41</v>
      </c>
      <c r="E219" s="8" t="s">
        <v>53</v>
      </c>
      <c r="F219" s="8">
        <v>136</v>
      </c>
      <c r="G219" s="8">
        <v>14.6</v>
      </c>
      <c r="H219" s="8">
        <v>67.66</v>
      </c>
      <c r="I219" s="8">
        <v>8.6999999999999993</v>
      </c>
      <c r="J219" s="8">
        <v>8</v>
      </c>
    </row>
    <row r="220" spans="1:10" ht="14.25" customHeight="1">
      <c r="A220" s="8">
        <v>4201</v>
      </c>
      <c r="B220" s="8" t="s">
        <v>40</v>
      </c>
      <c r="C220" s="8" t="s">
        <v>45</v>
      </c>
      <c r="D220" s="8" t="s">
        <v>47</v>
      </c>
      <c r="E220" s="8" t="s">
        <v>49</v>
      </c>
      <c r="F220" s="8">
        <v>243</v>
      </c>
      <c r="G220" s="8">
        <v>1.3</v>
      </c>
      <c r="H220" s="8">
        <v>78.42</v>
      </c>
      <c r="I220" s="8">
        <v>7.9</v>
      </c>
      <c r="J220" s="8">
        <v>13</v>
      </c>
    </row>
    <row r="221" spans="1:10" ht="14.25" customHeight="1">
      <c r="A221" s="8">
        <v>4052</v>
      </c>
      <c r="B221" s="8" t="s">
        <v>34</v>
      </c>
      <c r="C221" s="8" t="s">
        <v>28</v>
      </c>
      <c r="D221" s="8" t="s">
        <v>36</v>
      </c>
      <c r="E221" s="8" t="s">
        <v>38</v>
      </c>
      <c r="F221" s="8">
        <v>168</v>
      </c>
      <c r="G221" s="8">
        <v>1.9</v>
      </c>
      <c r="H221" s="8">
        <v>25.6</v>
      </c>
      <c r="I221" s="8">
        <v>8.5</v>
      </c>
      <c r="J221" s="8">
        <v>12</v>
      </c>
    </row>
    <row r="222" spans="1:10" ht="14.25" customHeight="1">
      <c r="A222" s="8">
        <v>4025</v>
      </c>
      <c r="B222" s="8" t="s">
        <v>44</v>
      </c>
      <c r="C222" s="8" t="s">
        <v>45</v>
      </c>
      <c r="D222" s="8" t="s">
        <v>36</v>
      </c>
      <c r="E222" s="8" t="s">
        <v>49</v>
      </c>
      <c r="F222" s="8">
        <v>30</v>
      </c>
      <c r="G222" s="8">
        <v>2.5</v>
      </c>
      <c r="H222" s="8">
        <v>4.5599999999999996</v>
      </c>
      <c r="I222" s="8">
        <v>5.9</v>
      </c>
      <c r="J222" s="8">
        <v>0</v>
      </c>
    </row>
    <row r="223" spans="1:10" ht="14.25" customHeight="1">
      <c r="A223" s="8">
        <v>4120</v>
      </c>
      <c r="B223" s="8" t="s">
        <v>40</v>
      </c>
      <c r="C223" s="8" t="s">
        <v>28</v>
      </c>
      <c r="D223" s="8" t="s">
        <v>47</v>
      </c>
      <c r="E223" s="8" t="s">
        <v>53</v>
      </c>
      <c r="F223" s="8">
        <v>133</v>
      </c>
      <c r="G223" s="8">
        <v>6.3</v>
      </c>
      <c r="H223" s="8">
        <v>48.9</v>
      </c>
      <c r="I223" s="8">
        <v>7.7</v>
      </c>
      <c r="J223" s="8">
        <v>6</v>
      </c>
    </row>
    <row r="224" spans="1:10" ht="14.25" customHeight="1">
      <c r="A224" s="8">
        <v>4322</v>
      </c>
      <c r="B224" s="8" t="s">
        <v>58</v>
      </c>
      <c r="C224" s="8" t="s">
        <v>35</v>
      </c>
      <c r="D224" s="8" t="s">
        <v>41</v>
      </c>
      <c r="E224" s="8" t="s">
        <v>38</v>
      </c>
      <c r="F224" s="8">
        <v>78</v>
      </c>
      <c r="G224" s="8">
        <v>10.4</v>
      </c>
      <c r="H224" s="8">
        <v>23.62</v>
      </c>
      <c r="I224" s="8">
        <v>8.1</v>
      </c>
      <c r="J224" s="8">
        <v>8</v>
      </c>
    </row>
    <row r="225" spans="1:10" ht="14.25" customHeight="1">
      <c r="A225" s="8">
        <v>4133</v>
      </c>
      <c r="B225" s="8" t="s">
        <v>58</v>
      </c>
      <c r="C225" s="8" t="s">
        <v>35</v>
      </c>
      <c r="D225" s="8" t="s">
        <v>47</v>
      </c>
      <c r="E225" s="8" t="s">
        <v>38</v>
      </c>
      <c r="F225" s="8">
        <v>5</v>
      </c>
      <c r="G225" s="8">
        <v>4.3</v>
      </c>
      <c r="H225" s="8">
        <v>5.39</v>
      </c>
      <c r="I225" s="8">
        <v>8.5</v>
      </c>
      <c r="J225" s="8">
        <v>7</v>
      </c>
    </row>
    <row r="226" spans="1:10" ht="14.25" customHeight="1">
      <c r="A226" s="8">
        <v>4053</v>
      </c>
      <c r="B226" s="8" t="s">
        <v>61</v>
      </c>
      <c r="C226" s="8" t="s">
        <v>45</v>
      </c>
      <c r="D226" s="8" t="s">
        <v>41</v>
      </c>
      <c r="E226" s="8" t="s">
        <v>38</v>
      </c>
      <c r="F226" s="8">
        <v>71</v>
      </c>
      <c r="G226" s="8">
        <v>-13.5</v>
      </c>
      <c r="H226" s="8">
        <v>41.11</v>
      </c>
      <c r="I226" s="8">
        <v>8.4</v>
      </c>
      <c r="J226" s="8">
        <v>0</v>
      </c>
    </row>
    <row r="227" spans="1:10" ht="14.25" customHeight="1">
      <c r="A227" s="8">
        <v>4184</v>
      </c>
      <c r="B227" s="8" t="s">
        <v>58</v>
      </c>
      <c r="C227" s="8" t="s">
        <v>28</v>
      </c>
      <c r="D227" s="8" t="s">
        <v>47</v>
      </c>
      <c r="E227" s="8" t="s">
        <v>42</v>
      </c>
      <c r="F227" s="8">
        <v>152</v>
      </c>
      <c r="G227" s="8">
        <v>1.8</v>
      </c>
      <c r="H227" s="8">
        <v>57.05</v>
      </c>
      <c r="I227" s="8">
        <v>8.6999999999999993</v>
      </c>
      <c r="J227" s="8">
        <v>10</v>
      </c>
    </row>
    <row r="228" spans="1:10" ht="14.25" customHeight="1">
      <c r="A228" s="8">
        <v>4200</v>
      </c>
      <c r="B228" s="8" t="s">
        <v>58</v>
      </c>
      <c r="C228" s="8" t="s">
        <v>45</v>
      </c>
      <c r="D228" s="8" t="s">
        <v>47</v>
      </c>
      <c r="E228" s="8" t="s">
        <v>38</v>
      </c>
      <c r="F228" s="8">
        <v>136</v>
      </c>
      <c r="G228" s="8">
        <v>3.3</v>
      </c>
      <c r="H228" s="8">
        <v>68.489999999999995</v>
      </c>
      <c r="I228" s="8">
        <v>9.5</v>
      </c>
      <c r="J228" s="8">
        <v>4</v>
      </c>
    </row>
    <row r="229" spans="1:10" ht="14.25" customHeight="1">
      <c r="A229" s="8">
        <v>4038</v>
      </c>
      <c r="B229" s="8" t="s">
        <v>58</v>
      </c>
      <c r="C229" s="8" t="s">
        <v>59</v>
      </c>
      <c r="D229" s="8" t="s">
        <v>36</v>
      </c>
      <c r="E229" s="8" t="s">
        <v>42</v>
      </c>
      <c r="F229" s="8">
        <v>188</v>
      </c>
      <c r="G229" s="8">
        <v>1.1000000000000001</v>
      </c>
      <c r="H229" s="8">
        <v>80.44</v>
      </c>
      <c r="I229" s="8">
        <v>9.5</v>
      </c>
      <c r="J229" s="8">
        <v>12</v>
      </c>
    </row>
    <row r="230" spans="1:10" ht="14.25" customHeight="1">
      <c r="A230" s="8">
        <v>4041</v>
      </c>
      <c r="B230" s="8" t="s">
        <v>44</v>
      </c>
      <c r="C230" s="8" t="s">
        <v>28</v>
      </c>
      <c r="D230" s="8" t="s">
        <v>47</v>
      </c>
      <c r="E230" s="8" t="s">
        <v>53</v>
      </c>
      <c r="F230" s="8">
        <v>98</v>
      </c>
      <c r="G230" s="8">
        <v>2.4</v>
      </c>
      <c r="H230" s="8">
        <v>53.75</v>
      </c>
      <c r="I230" s="8">
        <v>7.8</v>
      </c>
      <c r="J230" s="8">
        <v>6</v>
      </c>
    </row>
    <row r="231" spans="1:10" ht="14.25" customHeight="1">
      <c r="A231" s="8">
        <v>4215</v>
      </c>
      <c r="B231" s="8" t="s">
        <v>27</v>
      </c>
      <c r="C231" s="8" t="s">
        <v>28</v>
      </c>
      <c r="D231" s="8" t="s">
        <v>36</v>
      </c>
      <c r="E231" s="8" t="s">
        <v>49</v>
      </c>
      <c r="F231" s="8">
        <v>170</v>
      </c>
      <c r="G231" s="8">
        <v>2.5</v>
      </c>
      <c r="H231" s="8">
        <v>35.64</v>
      </c>
      <c r="I231" s="8">
        <v>8.1999999999999993</v>
      </c>
      <c r="J231" s="8">
        <v>7</v>
      </c>
    </row>
    <row r="232" spans="1:10" ht="14.25" customHeight="1">
      <c r="A232" s="8">
        <v>4137</v>
      </c>
      <c r="B232" s="8" t="s">
        <v>44</v>
      </c>
      <c r="C232" s="8" t="s">
        <v>45</v>
      </c>
      <c r="D232" s="8" t="s">
        <v>41</v>
      </c>
      <c r="E232" s="8" t="s">
        <v>49</v>
      </c>
      <c r="F232" s="8">
        <v>110</v>
      </c>
      <c r="G232" s="8">
        <v>17.899999999999999</v>
      </c>
      <c r="H232" s="8">
        <v>55.26</v>
      </c>
      <c r="I232" s="8">
        <v>8.5</v>
      </c>
      <c r="J232" s="8">
        <v>6</v>
      </c>
    </row>
    <row r="233" spans="1:10" ht="14.25" customHeight="1">
      <c r="A233" s="8">
        <v>4055</v>
      </c>
      <c r="B233" s="8" t="s">
        <v>58</v>
      </c>
      <c r="C233" s="8" t="s">
        <v>59</v>
      </c>
      <c r="D233" s="8" t="s">
        <v>36</v>
      </c>
      <c r="E233" s="8" t="s">
        <v>53</v>
      </c>
      <c r="F233" s="8">
        <v>203</v>
      </c>
      <c r="G233" s="8">
        <v>3.5</v>
      </c>
      <c r="H233" s="8">
        <v>116.15</v>
      </c>
      <c r="I233" s="8">
        <v>8</v>
      </c>
      <c r="J233" s="8">
        <v>20</v>
      </c>
    </row>
    <row r="234" spans="1:10" ht="14.25" customHeight="1">
      <c r="A234" s="8">
        <v>4206</v>
      </c>
      <c r="B234" s="8" t="s">
        <v>60</v>
      </c>
      <c r="C234" s="8" t="s">
        <v>28</v>
      </c>
      <c r="D234" s="8" t="s">
        <v>47</v>
      </c>
      <c r="E234" s="8" t="s">
        <v>49</v>
      </c>
      <c r="G234" s="8">
        <v>3.4</v>
      </c>
      <c r="H234" s="8">
        <v>21.33</v>
      </c>
      <c r="I234" s="8">
        <v>5.4</v>
      </c>
      <c r="J234" s="8">
        <v>8</v>
      </c>
    </row>
    <row r="235" spans="1:10" ht="14.25" customHeight="1">
      <c r="A235" s="8">
        <v>4076</v>
      </c>
      <c r="B235" s="8" t="s">
        <v>44</v>
      </c>
      <c r="C235" s="8" t="s">
        <v>35</v>
      </c>
      <c r="D235" s="8" t="s">
        <v>29</v>
      </c>
      <c r="E235" s="8" t="s">
        <v>30</v>
      </c>
      <c r="F235" s="8">
        <v>237</v>
      </c>
      <c r="G235" s="8">
        <v>6.4</v>
      </c>
      <c r="H235" s="8">
        <v>56.33</v>
      </c>
      <c r="I235" s="8">
        <v>7</v>
      </c>
      <c r="J235" s="8">
        <v>10</v>
      </c>
    </row>
    <row r="236" spans="1:10" ht="14.25" customHeight="1">
      <c r="A236" s="8">
        <v>4286</v>
      </c>
      <c r="B236" s="8" t="s">
        <v>55</v>
      </c>
      <c r="C236" s="8" t="s">
        <v>35</v>
      </c>
      <c r="D236" s="8" t="s">
        <v>41</v>
      </c>
      <c r="E236" s="8" t="s">
        <v>38</v>
      </c>
      <c r="F236" s="8">
        <v>5</v>
      </c>
      <c r="G236" s="8">
        <v>16.600000000000001</v>
      </c>
      <c r="H236" s="8">
        <v>1</v>
      </c>
      <c r="I236" s="8">
        <v>6.6</v>
      </c>
      <c r="J236" s="8">
        <v>4</v>
      </c>
    </row>
    <row r="237" spans="1:10" ht="14.25" customHeight="1">
      <c r="A237" s="8">
        <v>4245</v>
      </c>
      <c r="B237" s="8" t="s">
        <v>34</v>
      </c>
      <c r="C237" s="8" t="s">
        <v>35</v>
      </c>
      <c r="D237" s="8" t="s">
        <v>36</v>
      </c>
      <c r="E237" s="8" t="s">
        <v>38</v>
      </c>
      <c r="F237" s="8">
        <v>129</v>
      </c>
      <c r="G237" s="8">
        <v>4.4000000000000004</v>
      </c>
      <c r="H237" s="8">
        <v>28.42</v>
      </c>
      <c r="I237" s="8">
        <v>7.1</v>
      </c>
      <c r="J237" s="8">
        <v>4</v>
      </c>
    </row>
    <row r="238" spans="1:10" ht="14.25" customHeight="1">
      <c r="A238" s="8">
        <v>4244</v>
      </c>
      <c r="B238" s="8" t="s">
        <v>27</v>
      </c>
      <c r="C238" s="8" t="s">
        <v>52</v>
      </c>
      <c r="D238" s="8" t="s">
        <v>29</v>
      </c>
      <c r="E238" s="8" t="s">
        <v>38</v>
      </c>
      <c r="F238" s="8">
        <v>125</v>
      </c>
      <c r="G238" s="8">
        <v>4.5</v>
      </c>
      <c r="H238" s="8">
        <v>24.65</v>
      </c>
      <c r="I238" s="8">
        <v>8.5</v>
      </c>
      <c r="J238" s="8">
        <v>4</v>
      </c>
    </row>
    <row r="239" spans="1:10" ht="14.25" customHeight="1">
      <c r="A239" s="8">
        <v>4173</v>
      </c>
      <c r="B239" s="8" t="s">
        <v>34</v>
      </c>
      <c r="C239" s="8" t="s">
        <v>52</v>
      </c>
      <c r="D239" s="8" t="s">
        <v>41</v>
      </c>
      <c r="E239" s="8" t="s">
        <v>53</v>
      </c>
      <c r="F239" s="8">
        <v>36</v>
      </c>
      <c r="G239" s="8">
        <v>13</v>
      </c>
      <c r="H239" s="8">
        <v>10.77</v>
      </c>
      <c r="I239" s="8">
        <v>9.6999999999999993</v>
      </c>
      <c r="J239" s="8">
        <v>0</v>
      </c>
    </row>
    <row r="240" spans="1:10" ht="14.25" customHeight="1">
      <c r="A240" s="8">
        <v>4057</v>
      </c>
      <c r="B240" s="8" t="s">
        <v>61</v>
      </c>
      <c r="C240" s="8" t="s">
        <v>59</v>
      </c>
      <c r="D240" s="8" t="s">
        <v>36</v>
      </c>
      <c r="E240" s="8" t="s">
        <v>30</v>
      </c>
      <c r="F240" s="8">
        <v>17</v>
      </c>
      <c r="G240" s="8">
        <v>3</v>
      </c>
      <c r="H240" s="8">
        <v>11.85</v>
      </c>
      <c r="I240" s="8">
        <v>10</v>
      </c>
      <c r="J240" s="8">
        <v>0</v>
      </c>
    </row>
    <row r="241" spans="1:10" ht="14.25" customHeight="1">
      <c r="A241" s="8">
        <v>4204</v>
      </c>
      <c r="B241" s="8" t="s">
        <v>61</v>
      </c>
      <c r="C241" s="8" t="s">
        <v>59</v>
      </c>
      <c r="D241" s="8" t="s">
        <v>29</v>
      </c>
      <c r="E241" s="8" t="s">
        <v>53</v>
      </c>
      <c r="F241" s="8">
        <v>160</v>
      </c>
      <c r="G241" s="8">
        <v>2.6</v>
      </c>
      <c r="H241" s="8">
        <v>26.69</v>
      </c>
      <c r="I241" s="8">
        <v>9.5</v>
      </c>
      <c r="J241" s="8">
        <v>15</v>
      </c>
    </row>
    <row r="242" spans="1:10" ht="14.25" customHeight="1">
      <c r="A242" s="8">
        <v>4043</v>
      </c>
      <c r="B242" s="8" t="s">
        <v>40</v>
      </c>
      <c r="C242" s="8" t="s">
        <v>35</v>
      </c>
      <c r="D242" s="8" t="s">
        <v>47</v>
      </c>
      <c r="E242" s="8" t="s">
        <v>38</v>
      </c>
      <c r="F242" s="8">
        <v>110</v>
      </c>
      <c r="G242" s="8">
        <v>2.7</v>
      </c>
      <c r="H242" s="8">
        <v>45.41</v>
      </c>
      <c r="I242" s="8">
        <v>7.8</v>
      </c>
      <c r="J242" s="8">
        <v>6</v>
      </c>
    </row>
    <row r="243" spans="1:10" ht="14.25" customHeight="1">
      <c r="A243" s="8">
        <v>4205</v>
      </c>
      <c r="B243" s="8" t="s">
        <v>44</v>
      </c>
      <c r="C243" s="8" t="s">
        <v>35</v>
      </c>
      <c r="D243" s="8" t="s">
        <v>41</v>
      </c>
      <c r="E243" s="8" t="s">
        <v>42</v>
      </c>
      <c r="F243" s="8">
        <v>81</v>
      </c>
      <c r="G243" s="8">
        <v>12.9</v>
      </c>
      <c r="H243" s="8">
        <v>49.92</v>
      </c>
      <c r="I243" s="8">
        <v>8.1999999999999993</v>
      </c>
      <c r="J243" s="8">
        <v>2</v>
      </c>
    </row>
    <row r="244" spans="1:10" ht="14.25" customHeight="1">
      <c r="A244" s="8">
        <v>4189</v>
      </c>
      <c r="B244" s="8" t="s">
        <v>60</v>
      </c>
      <c r="C244" s="8" t="s">
        <v>28</v>
      </c>
      <c r="D244" s="8" t="s">
        <v>41</v>
      </c>
      <c r="E244" s="8" t="s">
        <v>38</v>
      </c>
      <c r="F244" s="8">
        <v>202</v>
      </c>
      <c r="G244" s="8">
        <v>18.3</v>
      </c>
      <c r="H244" s="8">
        <v>33.03</v>
      </c>
      <c r="I244" s="8">
        <v>7.3</v>
      </c>
      <c r="J244" s="8">
        <v>12</v>
      </c>
    </row>
    <row r="245" spans="1:10" ht="14.25" customHeight="1">
      <c r="A245" s="8">
        <v>4144</v>
      </c>
      <c r="B245" s="8" t="s">
        <v>55</v>
      </c>
      <c r="C245" s="8" t="s">
        <v>52</v>
      </c>
      <c r="D245" s="8" t="s">
        <v>47</v>
      </c>
      <c r="E245" s="8" t="s">
        <v>53</v>
      </c>
      <c r="F245" s="8">
        <v>16</v>
      </c>
      <c r="G245" s="8">
        <v>5.6</v>
      </c>
      <c r="H245" s="8">
        <v>1</v>
      </c>
      <c r="I245" s="8">
        <v>8</v>
      </c>
      <c r="J245" s="8">
        <v>3</v>
      </c>
    </row>
    <row r="246" spans="1:10" ht="14.25" customHeight="1">
      <c r="A246" s="8">
        <v>4185</v>
      </c>
      <c r="B246" s="8" t="s">
        <v>44</v>
      </c>
      <c r="C246" s="8" t="s">
        <v>59</v>
      </c>
      <c r="D246" s="8" t="s">
        <v>29</v>
      </c>
      <c r="E246" s="8" t="s">
        <v>30</v>
      </c>
      <c r="F246" s="8">
        <v>106</v>
      </c>
      <c r="G246" s="8">
        <v>7.6</v>
      </c>
      <c r="H246" s="8">
        <v>60.38</v>
      </c>
      <c r="I246" s="8">
        <v>8</v>
      </c>
      <c r="J246" s="8">
        <v>9</v>
      </c>
    </row>
    <row r="247" spans="1:10" ht="14.25" customHeight="1">
      <c r="A247" s="8">
        <v>4237</v>
      </c>
      <c r="B247" s="8" t="s">
        <v>61</v>
      </c>
      <c r="C247" s="8" t="s">
        <v>59</v>
      </c>
      <c r="D247" s="8" t="s">
        <v>36</v>
      </c>
      <c r="E247" s="8" t="s">
        <v>30</v>
      </c>
      <c r="F247" s="8">
        <v>141</v>
      </c>
      <c r="G247" s="8">
        <v>3.5</v>
      </c>
      <c r="H247" s="8">
        <v>23.77</v>
      </c>
      <c r="I247" s="8">
        <v>7.5</v>
      </c>
      <c r="J247" s="8">
        <v>4</v>
      </c>
    </row>
    <row r="248" spans="1:10" ht="14.25" customHeight="1">
      <c r="A248" s="8">
        <v>4315</v>
      </c>
      <c r="B248" s="8" t="s">
        <v>60</v>
      </c>
      <c r="C248" s="8" t="s">
        <v>59</v>
      </c>
      <c r="D248" s="8" t="s">
        <v>29</v>
      </c>
      <c r="E248" s="8" t="s">
        <v>42</v>
      </c>
      <c r="F248" s="8">
        <v>101</v>
      </c>
      <c r="G248" s="8">
        <v>10.9</v>
      </c>
      <c r="H248" s="8">
        <v>31.98</v>
      </c>
      <c r="I248" s="8">
        <v>10</v>
      </c>
      <c r="J248" s="8">
        <v>12</v>
      </c>
    </row>
    <row r="249" spans="1:10" ht="14.25" customHeight="1">
      <c r="A249" s="8">
        <v>4047</v>
      </c>
      <c r="B249" s="8" t="s">
        <v>55</v>
      </c>
      <c r="C249" s="8" t="s">
        <v>45</v>
      </c>
      <c r="D249" s="8" t="s">
        <v>29</v>
      </c>
      <c r="E249" s="8" t="s">
        <v>49</v>
      </c>
      <c r="F249" s="8">
        <v>127</v>
      </c>
      <c r="G249" s="8">
        <v>3.6</v>
      </c>
      <c r="H249" s="8">
        <v>31.43</v>
      </c>
      <c r="J249" s="8">
        <v>10</v>
      </c>
    </row>
    <row r="250" spans="1:10" ht="14.25" customHeight="1">
      <c r="A250" s="8">
        <v>4297</v>
      </c>
      <c r="B250" s="8" t="s">
        <v>61</v>
      </c>
      <c r="C250" s="8" t="s">
        <v>45</v>
      </c>
      <c r="D250" s="8" t="s">
        <v>29</v>
      </c>
      <c r="E250" s="8" t="s">
        <v>42</v>
      </c>
      <c r="F250" s="8">
        <v>127</v>
      </c>
      <c r="G250" s="8">
        <v>10.6</v>
      </c>
      <c r="H250" s="8">
        <v>67.31</v>
      </c>
      <c r="I250" s="8">
        <v>8.1</v>
      </c>
      <c r="J250" s="8">
        <v>1</v>
      </c>
    </row>
    <row r="251" spans="1:10" ht="14.25" customHeight="1">
      <c r="A251" s="8">
        <v>4305</v>
      </c>
      <c r="B251" s="8" t="s">
        <v>58</v>
      </c>
      <c r="C251" s="8" t="s">
        <v>35</v>
      </c>
      <c r="D251" s="8" t="s">
        <v>47</v>
      </c>
      <c r="E251" s="8" t="s">
        <v>30</v>
      </c>
      <c r="F251" s="8">
        <v>198</v>
      </c>
      <c r="G251" s="8">
        <v>2</v>
      </c>
      <c r="H251" s="8">
        <v>34.159999999999997</v>
      </c>
      <c r="I251" s="8">
        <v>6.9</v>
      </c>
      <c r="J251" s="8">
        <v>9</v>
      </c>
    </row>
    <row r="252" spans="1:10" ht="14.25" customHeight="1">
      <c r="A252" s="8">
        <v>4323</v>
      </c>
      <c r="B252" s="8" t="s">
        <v>27</v>
      </c>
      <c r="C252" s="8" t="s">
        <v>28</v>
      </c>
      <c r="D252" s="8" t="s">
        <v>36</v>
      </c>
      <c r="E252" s="8" t="s">
        <v>38</v>
      </c>
      <c r="F252" s="8">
        <v>137</v>
      </c>
      <c r="G252" s="8">
        <v>3</v>
      </c>
      <c r="H252" s="8">
        <v>31.18</v>
      </c>
      <c r="I252" s="8">
        <v>7.5</v>
      </c>
      <c r="J252" s="8">
        <v>0</v>
      </c>
    </row>
    <row r="253" spans="1:10" ht="14.25" customHeight="1">
      <c r="A253" s="8">
        <v>4271</v>
      </c>
      <c r="B253" s="8" t="s">
        <v>34</v>
      </c>
      <c r="C253" s="8" t="s">
        <v>28</v>
      </c>
      <c r="D253" s="8" t="s">
        <v>29</v>
      </c>
      <c r="E253" s="8" t="s">
        <v>42</v>
      </c>
      <c r="F253" s="8">
        <v>212</v>
      </c>
      <c r="G253" s="8">
        <v>13.7</v>
      </c>
      <c r="H253" s="8">
        <v>79.97</v>
      </c>
      <c r="I253" s="8">
        <v>7.5</v>
      </c>
      <c r="J253" s="8">
        <v>12</v>
      </c>
    </row>
    <row r="254" spans="1:10" ht="14.25" customHeight="1">
      <c r="A254" s="8">
        <v>4226</v>
      </c>
      <c r="B254" s="8" t="s">
        <v>27</v>
      </c>
      <c r="C254" s="8" t="s">
        <v>45</v>
      </c>
      <c r="D254" s="8" t="s">
        <v>29</v>
      </c>
      <c r="E254" s="8" t="s">
        <v>30</v>
      </c>
      <c r="F254" s="8">
        <v>98</v>
      </c>
      <c r="G254" s="8">
        <v>1.5</v>
      </c>
      <c r="H254" s="8">
        <v>21.46</v>
      </c>
      <c r="I254" s="8">
        <v>8.8000000000000007</v>
      </c>
      <c r="J254" s="8">
        <v>3</v>
      </c>
    </row>
    <row r="255" spans="1:10" ht="14.25" customHeight="1">
      <c r="A255" s="8">
        <v>4221</v>
      </c>
      <c r="B255" s="8" t="s">
        <v>40</v>
      </c>
      <c r="C255" s="8" t="s">
        <v>45</v>
      </c>
      <c r="D255" s="8" t="s">
        <v>41</v>
      </c>
      <c r="E255" s="8" t="s">
        <v>38</v>
      </c>
      <c r="F255" s="8">
        <v>163</v>
      </c>
      <c r="G255" s="8">
        <v>8.8000000000000007</v>
      </c>
      <c r="H255" s="8">
        <v>84.72</v>
      </c>
      <c r="I255" s="8">
        <v>7.5</v>
      </c>
      <c r="J255" s="8">
        <v>4</v>
      </c>
    </row>
    <row r="256" spans="1:10" ht="14.25" customHeight="1">
      <c r="A256" s="8">
        <v>4036</v>
      </c>
      <c r="B256" s="8" t="s">
        <v>61</v>
      </c>
      <c r="C256" s="8" t="s">
        <v>28</v>
      </c>
      <c r="D256" s="8" t="s">
        <v>41</v>
      </c>
      <c r="E256" s="8" t="s">
        <v>42</v>
      </c>
      <c r="F256" s="8">
        <v>81</v>
      </c>
      <c r="G256" s="8">
        <v>16.5</v>
      </c>
      <c r="H256" s="8">
        <v>31.68</v>
      </c>
      <c r="I256" s="8">
        <v>8.3000000000000007</v>
      </c>
      <c r="J256" s="8">
        <v>5</v>
      </c>
    </row>
    <row r="257" spans="1:10" ht="14.25" customHeight="1">
      <c r="A257" s="8">
        <v>4013</v>
      </c>
      <c r="B257" s="8" t="s">
        <v>60</v>
      </c>
      <c r="C257" s="8" t="s">
        <v>28</v>
      </c>
      <c r="D257" s="8" t="s">
        <v>29</v>
      </c>
      <c r="E257" s="8" t="s">
        <v>53</v>
      </c>
      <c r="F257" s="8">
        <v>117</v>
      </c>
      <c r="G257" s="8">
        <v>7.8</v>
      </c>
      <c r="H257" s="8">
        <v>48.96</v>
      </c>
      <c r="I257" s="8">
        <v>8.1</v>
      </c>
      <c r="J257" s="8">
        <v>7</v>
      </c>
    </row>
    <row r="258" spans="1:10" ht="14.25" customHeight="1">
      <c r="A258" s="8">
        <v>4064</v>
      </c>
      <c r="B258" s="8" t="s">
        <v>40</v>
      </c>
      <c r="C258" s="8" t="s">
        <v>59</v>
      </c>
      <c r="D258" s="8" t="s">
        <v>41</v>
      </c>
      <c r="E258" s="8" t="s">
        <v>30</v>
      </c>
      <c r="F258" s="8">
        <v>97</v>
      </c>
      <c r="G258" s="8">
        <v>16.2</v>
      </c>
      <c r="H258" s="8">
        <v>48.73</v>
      </c>
      <c r="I258" s="8">
        <v>7</v>
      </c>
      <c r="J258" s="8">
        <v>4</v>
      </c>
    </row>
    <row r="259" spans="1:10" ht="14.25" customHeight="1">
      <c r="A259" s="8">
        <v>4223</v>
      </c>
      <c r="B259" s="8" t="s">
        <v>40</v>
      </c>
      <c r="C259" s="8" t="s">
        <v>45</v>
      </c>
      <c r="D259" s="8" t="s">
        <v>29</v>
      </c>
      <c r="E259" s="8" t="s">
        <v>53</v>
      </c>
      <c r="F259" s="8">
        <v>123</v>
      </c>
      <c r="G259" s="8">
        <v>7.2</v>
      </c>
      <c r="H259" s="8">
        <v>51.03</v>
      </c>
      <c r="I259" s="8">
        <v>8</v>
      </c>
      <c r="J259" s="8">
        <v>10</v>
      </c>
    </row>
    <row r="260" spans="1:10" ht="14.25" customHeight="1">
      <c r="A260" s="8">
        <v>4093</v>
      </c>
      <c r="B260" s="8" t="s">
        <v>60</v>
      </c>
      <c r="C260" s="8" t="s">
        <v>59</v>
      </c>
      <c r="D260" s="8" t="s">
        <v>36</v>
      </c>
      <c r="E260" s="8" t="s">
        <v>30</v>
      </c>
      <c r="F260" s="8">
        <v>193</v>
      </c>
      <c r="G260" s="8">
        <v>3.2</v>
      </c>
      <c r="H260" s="8">
        <v>33.76</v>
      </c>
      <c r="I260" s="8">
        <v>8</v>
      </c>
      <c r="J260" s="8">
        <v>10</v>
      </c>
    </row>
    <row r="261" spans="1:10" ht="14.25" customHeight="1">
      <c r="A261" s="8">
        <v>4030</v>
      </c>
      <c r="B261" s="8" t="s">
        <v>44</v>
      </c>
      <c r="C261" s="8" t="s">
        <v>45</v>
      </c>
      <c r="D261" s="8" t="s">
        <v>36</v>
      </c>
      <c r="E261" s="8" t="s">
        <v>42</v>
      </c>
      <c r="F261" s="8">
        <v>73</v>
      </c>
      <c r="G261" s="8">
        <v>3.5</v>
      </c>
      <c r="H261" s="8">
        <v>21.92</v>
      </c>
      <c r="I261" s="8">
        <v>7.1</v>
      </c>
      <c r="J261" s="8">
        <v>6</v>
      </c>
    </row>
    <row r="262" spans="1:10" ht="14.25" customHeight="1">
      <c r="A262" s="8">
        <v>4261</v>
      </c>
      <c r="B262" s="8" t="s">
        <v>40</v>
      </c>
      <c r="C262" s="8" t="s">
        <v>59</v>
      </c>
      <c r="D262" s="8" t="s">
        <v>41</v>
      </c>
      <c r="E262" s="8" t="s">
        <v>53</v>
      </c>
      <c r="F262" s="8">
        <v>53</v>
      </c>
      <c r="G262" s="8">
        <v>15</v>
      </c>
      <c r="H262" s="8">
        <v>23.45</v>
      </c>
      <c r="I262" s="8">
        <v>7.2</v>
      </c>
      <c r="J262" s="8">
        <v>4</v>
      </c>
    </row>
    <row r="263" spans="1:10" ht="14.25" customHeight="1">
      <c r="A263" s="8">
        <v>4105</v>
      </c>
      <c r="B263" s="8" t="s">
        <v>58</v>
      </c>
      <c r="C263" s="8" t="s">
        <v>35</v>
      </c>
      <c r="D263" s="8" t="s">
        <v>29</v>
      </c>
      <c r="E263" s="8" t="s">
        <v>53</v>
      </c>
      <c r="F263" s="8">
        <v>164</v>
      </c>
      <c r="G263" s="8">
        <v>8</v>
      </c>
      <c r="H263" s="8">
        <v>57.38</v>
      </c>
      <c r="I263" s="8">
        <v>8.6</v>
      </c>
      <c r="J263" s="8">
        <v>8</v>
      </c>
    </row>
    <row r="264" spans="1:10" ht="14.25" customHeight="1">
      <c r="A264" s="8">
        <v>4228</v>
      </c>
      <c r="B264" s="8" t="s">
        <v>60</v>
      </c>
      <c r="C264" s="8" t="s">
        <v>52</v>
      </c>
      <c r="D264" s="8" t="s">
        <v>29</v>
      </c>
      <c r="E264" s="8" t="s">
        <v>38</v>
      </c>
      <c r="F264" s="8">
        <v>141</v>
      </c>
      <c r="G264" s="8">
        <v>3.2</v>
      </c>
      <c r="H264" s="8">
        <v>28.41</v>
      </c>
      <c r="I264" s="8">
        <v>6.7</v>
      </c>
      <c r="J264" s="8">
        <v>8</v>
      </c>
    </row>
    <row r="265" spans="1:10" ht="14.25" customHeight="1">
      <c r="A265" s="8">
        <v>4208</v>
      </c>
      <c r="B265" s="8" t="s">
        <v>55</v>
      </c>
      <c r="C265" s="8" t="s">
        <v>59</v>
      </c>
      <c r="D265" s="8" t="s">
        <v>36</v>
      </c>
      <c r="E265" s="8" t="s">
        <v>53</v>
      </c>
      <c r="F265" s="8">
        <v>97</v>
      </c>
      <c r="G265" s="8">
        <v>3.5</v>
      </c>
      <c r="H265" s="8">
        <v>30.38</v>
      </c>
      <c r="I265" s="8">
        <v>7.1</v>
      </c>
      <c r="J265" s="8">
        <v>7</v>
      </c>
    </row>
    <row r="266" spans="1:10" ht="14.25" customHeight="1">
      <c r="A266" s="8">
        <v>4233</v>
      </c>
      <c r="B266" s="8" t="s">
        <v>55</v>
      </c>
      <c r="C266" s="8" t="s">
        <v>52</v>
      </c>
      <c r="D266" s="8" t="s">
        <v>47</v>
      </c>
      <c r="E266" s="8" t="s">
        <v>53</v>
      </c>
      <c r="F266" s="8">
        <v>113</v>
      </c>
      <c r="G266" s="8">
        <v>285</v>
      </c>
      <c r="H266" s="8">
        <v>48.12</v>
      </c>
      <c r="I266" s="8">
        <v>8.1</v>
      </c>
      <c r="J266" s="8">
        <v>6</v>
      </c>
    </row>
    <row r="267" spans="1:10" ht="14.25" customHeight="1">
      <c r="A267" s="8">
        <v>4108</v>
      </c>
      <c r="B267" s="8" t="s">
        <v>44</v>
      </c>
      <c r="C267" s="8" t="s">
        <v>59</v>
      </c>
      <c r="D267" s="8" t="s">
        <v>36</v>
      </c>
      <c r="E267" s="8" t="s">
        <v>42</v>
      </c>
      <c r="F267" s="8">
        <v>51</v>
      </c>
      <c r="G267" s="8">
        <v>3</v>
      </c>
      <c r="H267" s="8">
        <v>23</v>
      </c>
      <c r="I267" s="8">
        <v>7.7</v>
      </c>
      <c r="J267" s="8">
        <v>10</v>
      </c>
    </row>
    <row r="268" spans="1:10" ht="14.25" customHeight="1">
      <c r="A268" s="8">
        <v>4280</v>
      </c>
      <c r="B268" s="8" t="s">
        <v>60</v>
      </c>
      <c r="C268" s="8" t="s">
        <v>35</v>
      </c>
      <c r="D268" s="8" t="s">
        <v>41</v>
      </c>
      <c r="E268" s="8" t="s">
        <v>49</v>
      </c>
      <c r="F268" s="8">
        <v>264</v>
      </c>
      <c r="G268" s="8">
        <v>11.5</v>
      </c>
      <c r="H268" s="8">
        <v>84.62</v>
      </c>
      <c r="I268" s="8">
        <v>8.8000000000000007</v>
      </c>
      <c r="J268" s="8">
        <v>14</v>
      </c>
    </row>
    <row r="269" spans="1:10" ht="14.25" customHeight="1">
      <c r="A269" s="8">
        <v>4150</v>
      </c>
      <c r="B269" s="8" t="s">
        <v>40</v>
      </c>
      <c r="C269" s="8" t="s">
        <v>28</v>
      </c>
      <c r="D269" s="8" t="s">
        <v>36</v>
      </c>
      <c r="E269" s="8" t="s">
        <v>42</v>
      </c>
      <c r="F269" s="8">
        <v>127</v>
      </c>
      <c r="G269" s="8">
        <v>2</v>
      </c>
      <c r="H269" s="8">
        <v>35.869999999999997</v>
      </c>
      <c r="I269" s="8">
        <v>8.1999999999999993</v>
      </c>
      <c r="J269" s="8">
        <v>4</v>
      </c>
    </row>
    <row r="270" spans="1:10" ht="14.25" customHeight="1">
      <c r="A270" s="8">
        <v>4225</v>
      </c>
      <c r="B270" s="8" t="s">
        <v>27</v>
      </c>
      <c r="C270" s="8" t="s">
        <v>45</v>
      </c>
      <c r="D270" s="8" t="s">
        <v>47</v>
      </c>
      <c r="E270" s="8" t="s">
        <v>30</v>
      </c>
      <c r="F270" s="8">
        <v>102</v>
      </c>
      <c r="G270" s="8">
        <v>5.0999999999999996</v>
      </c>
      <c r="H270" s="8">
        <v>17.21</v>
      </c>
      <c r="I270" s="8">
        <v>8.6</v>
      </c>
      <c r="J270" s="8">
        <v>4</v>
      </c>
    </row>
    <row r="271" spans="1:10" ht="14.25" customHeight="1">
      <c r="A271" s="8">
        <v>4113</v>
      </c>
      <c r="B271" s="8" t="s">
        <v>61</v>
      </c>
      <c r="C271" s="8" t="s">
        <v>45</v>
      </c>
      <c r="D271" s="8" t="s">
        <v>36</v>
      </c>
      <c r="E271" s="8" t="s">
        <v>38</v>
      </c>
      <c r="F271" s="8">
        <v>139</v>
      </c>
      <c r="G271" s="8">
        <v>2.2999999999999998</v>
      </c>
      <c r="H271" s="8">
        <v>33.369999999999997</v>
      </c>
      <c r="I271" s="8">
        <v>7.3</v>
      </c>
      <c r="J271" s="8">
        <v>7</v>
      </c>
    </row>
    <row r="272" spans="1:10" ht="14.25" customHeight="1">
      <c r="A272" s="8">
        <v>4312</v>
      </c>
      <c r="B272" s="8" t="s">
        <v>61</v>
      </c>
      <c r="C272" s="8" t="s">
        <v>59</v>
      </c>
      <c r="D272" s="8" t="s">
        <v>36</v>
      </c>
      <c r="E272" s="8" t="s">
        <v>38</v>
      </c>
      <c r="F272" s="8">
        <v>5</v>
      </c>
      <c r="G272" s="8">
        <v>2.2999999999999998</v>
      </c>
      <c r="H272" s="8">
        <v>1</v>
      </c>
      <c r="I272" s="8">
        <v>7</v>
      </c>
      <c r="J272" s="8">
        <v>0</v>
      </c>
    </row>
    <row r="273" spans="1:10" ht="14.25" customHeight="1">
      <c r="A273" s="8">
        <v>4019</v>
      </c>
      <c r="B273" s="8" t="s">
        <v>44</v>
      </c>
      <c r="C273" s="8" t="s">
        <v>35</v>
      </c>
      <c r="D273" s="8" t="s">
        <v>29</v>
      </c>
      <c r="E273" s="8" t="s">
        <v>30</v>
      </c>
      <c r="F273" s="8">
        <v>161</v>
      </c>
      <c r="G273" s="8">
        <v>10.3</v>
      </c>
      <c r="H273" s="8">
        <v>80.040000000000006</v>
      </c>
      <c r="I273" s="8">
        <v>7.9</v>
      </c>
      <c r="J273" s="8">
        <v>7</v>
      </c>
    </row>
    <row r="274" spans="1:10" ht="14.25" customHeight="1">
      <c r="A274" s="8">
        <v>4166</v>
      </c>
      <c r="B274" s="8" t="s">
        <v>27</v>
      </c>
      <c r="C274" s="8" t="s">
        <v>59</v>
      </c>
      <c r="D274" s="8" t="s">
        <v>29</v>
      </c>
      <c r="E274" s="8" t="s">
        <v>42</v>
      </c>
      <c r="F274" s="8">
        <v>199</v>
      </c>
      <c r="G274" s="8">
        <v>2.6</v>
      </c>
      <c r="H274" s="8">
        <v>25.14</v>
      </c>
      <c r="I274" s="8">
        <v>7.7</v>
      </c>
      <c r="J274" s="8">
        <v>11</v>
      </c>
    </row>
    <row r="275" spans="1:10" ht="14.25" customHeight="1">
      <c r="A275" s="8">
        <v>4210</v>
      </c>
      <c r="B275" s="8" t="s">
        <v>34</v>
      </c>
      <c r="C275" s="8" t="s">
        <v>52</v>
      </c>
      <c r="D275" s="8" t="s">
        <v>47</v>
      </c>
      <c r="E275" s="8" t="s">
        <v>42</v>
      </c>
      <c r="F275" s="8">
        <v>124</v>
      </c>
      <c r="G275" s="8">
        <v>5.0999999999999996</v>
      </c>
      <c r="H275" s="8">
        <v>20.87</v>
      </c>
      <c r="I275" s="8">
        <v>8.6999999999999993</v>
      </c>
      <c r="J275" s="8">
        <v>9</v>
      </c>
    </row>
    <row r="276" spans="1:10" ht="14.25" customHeight="1">
      <c r="A276" s="8">
        <v>4035</v>
      </c>
      <c r="B276" s="8" t="s">
        <v>34</v>
      </c>
      <c r="C276" s="8" t="s">
        <v>59</v>
      </c>
      <c r="D276" s="8" t="s">
        <v>36</v>
      </c>
      <c r="E276" s="8" t="s">
        <v>49</v>
      </c>
      <c r="F276" s="8">
        <v>241</v>
      </c>
      <c r="G276" s="8">
        <v>3.4</v>
      </c>
      <c r="H276" s="8">
        <v>65.819999999999993</v>
      </c>
      <c r="I276" s="8">
        <v>8.8000000000000007</v>
      </c>
      <c r="J276" s="8">
        <v>20</v>
      </c>
    </row>
    <row r="277" spans="1:10" ht="14.25" customHeight="1">
      <c r="A277" s="8">
        <v>4273</v>
      </c>
      <c r="B277" s="8" t="s">
        <v>40</v>
      </c>
      <c r="C277" s="8" t="s">
        <v>59</v>
      </c>
      <c r="D277" s="8" t="s">
        <v>41</v>
      </c>
      <c r="E277" s="8" t="s">
        <v>42</v>
      </c>
      <c r="F277" s="8">
        <v>212</v>
      </c>
      <c r="G277" s="8">
        <v>16.3</v>
      </c>
      <c r="H277" s="8">
        <v>55.44</v>
      </c>
      <c r="I277" s="8">
        <v>9.4</v>
      </c>
      <c r="J277" s="8">
        <v>14</v>
      </c>
    </row>
    <row r="278" spans="1:10" ht="14.25" customHeight="1">
      <c r="A278" s="8">
        <v>4005</v>
      </c>
      <c r="B278" s="8" t="s">
        <v>40</v>
      </c>
      <c r="D278" s="8" t="s">
        <v>29</v>
      </c>
      <c r="E278" s="8" t="s">
        <v>42</v>
      </c>
      <c r="F278" s="8">
        <v>190</v>
      </c>
      <c r="G278" s="8">
        <v>5.7</v>
      </c>
      <c r="H278" s="8">
        <v>51.1</v>
      </c>
      <c r="I278" s="8">
        <v>9.6</v>
      </c>
      <c r="J278" s="8">
        <v>14</v>
      </c>
    </row>
    <row r="279" spans="1:10" ht="14.25" customHeight="1">
      <c r="A279" s="8">
        <v>4308</v>
      </c>
      <c r="B279" s="8" t="s">
        <v>44</v>
      </c>
      <c r="C279" s="8" t="s">
        <v>35</v>
      </c>
      <c r="D279" s="8" t="s">
        <v>47</v>
      </c>
      <c r="E279" s="8" t="s">
        <v>38</v>
      </c>
      <c r="F279" s="8">
        <v>138</v>
      </c>
      <c r="G279" s="8">
        <v>5.3</v>
      </c>
      <c r="H279" s="8">
        <v>57.47</v>
      </c>
      <c r="I279" s="8">
        <v>7.5</v>
      </c>
      <c r="J279" s="8">
        <v>2</v>
      </c>
    </row>
    <row r="280" spans="1:10" ht="14.25" customHeight="1">
      <c r="A280" s="8">
        <v>4289</v>
      </c>
      <c r="B280" s="8" t="s">
        <v>34</v>
      </c>
      <c r="C280" s="8" t="s">
        <v>28</v>
      </c>
      <c r="D280" s="8" t="s">
        <v>36</v>
      </c>
      <c r="E280" s="8" t="s">
        <v>30</v>
      </c>
      <c r="F280" s="8">
        <v>132</v>
      </c>
      <c r="G280" s="8">
        <v>3.8</v>
      </c>
      <c r="H280" s="8">
        <v>23.04</v>
      </c>
      <c r="I280" s="8">
        <v>0.2</v>
      </c>
      <c r="J280" s="8">
        <v>7</v>
      </c>
    </row>
    <row r="281" spans="1:10" ht="14.25" customHeight="1">
      <c r="A281" s="8">
        <v>4234</v>
      </c>
      <c r="B281" s="8" t="s">
        <v>44</v>
      </c>
      <c r="C281" s="8" t="s">
        <v>28</v>
      </c>
      <c r="D281" s="8" t="s">
        <v>36</v>
      </c>
      <c r="E281" s="8" t="s">
        <v>53</v>
      </c>
      <c r="F281" s="8">
        <v>199</v>
      </c>
      <c r="G281" s="8">
        <v>3.8</v>
      </c>
      <c r="H281" s="8">
        <v>88.89</v>
      </c>
      <c r="I281" s="8">
        <v>8</v>
      </c>
      <c r="J281" s="8">
        <v>14</v>
      </c>
    </row>
    <row r="282" spans="1:10" ht="14.25" customHeight="1">
      <c r="A282" s="8">
        <v>4070</v>
      </c>
      <c r="B282" s="8" t="s">
        <v>55</v>
      </c>
      <c r="C282" s="8" t="s">
        <v>45</v>
      </c>
      <c r="D282" s="8" t="s">
        <v>47</v>
      </c>
      <c r="E282" s="8" t="s">
        <v>53</v>
      </c>
      <c r="F282" s="8">
        <v>98</v>
      </c>
      <c r="G282" s="8">
        <v>6.2</v>
      </c>
      <c r="H282" s="8">
        <v>19.16</v>
      </c>
      <c r="I282" s="8">
        <v>8.9</v>
      </c>
      <c r="J282" s="8">
        <v>9</v>
      </c>
    </row>
    <row r="283" spans="1:10" ht="14.25" customHeight="1">
      <c r="A283" s="8">
        <v>4175</v>
      </c>
      <c r="B283" s="8" t="s">
        <v>40</v>
      </c>
      <c r="C283" s="8" t="s">
        <v>45</v>
      </c>
      <c r="D283" s="8" t="s">
        <v>41</v>
      </c>
      <c r="E283" s="8" t="s">
        <v>53</v>
      </c>
      <c r="F283" s="8">
        <v>139</v>
      </c>
      <c r="G283" s="8">
        <v>12.2</v>
      </c>
      <c r="H283" s="8">
        <v>29.6</v>
      </c>
      <c r="I283" s="8">
        <v>8.6</v>
      </c>
      <c r="J283" s="8">
        <v>11</v>
      </c>
    </row>
    <row r="284" spans="1:10" ht="14.25" customHeight="1">
      <c r="A284" s="8">
        <v>4188</v>
      </c>
      <c r="B284" s="8" t="s">
        <v>61</v>
      </c>
      <c r="C284" s="8" t="s">
        <v>28</v>
      </c>
      <c r="D284" s="8" t="s">
        <v>47</v>
      </c>
      <c r="E284" s="8" t="s">
        <v>49</v>
      </c>
      <c r="F284" s="8">
        <v>172</v>
      </c>
      <c r="G284" s="8">
        <v>3.1</v>
      </c>
      <c r="H284" s="8">
        <v>42.56</v>
      </c>
      <c r="I284" s="8">
        <v>8.9</v>
      </c>
      <c r="J284" s="8">
        <v>15</v>
      </c>
    </row>
    <row r="285" spans="1:10" ht="14.25" customHeight="1">
      <c r="A285" s="8">
        <v>4073</v>
      </c>
      <c r="B285" s="8" t="s">
        <v>44</v>
      </c>
      <c r="C285" s="8" t="s">
        <v>28</v>
      </c>
      <c r="D285" s="8" t="s">
        <v>41</v>
      </c>
      <c r="E285" s="8" t="s">
        <v>42</v>
      </c>
      <c r="F285" s="8">
        <v>142</v>
      </c>
      <c r="G285" s="8">
        <v>22.2</v>
      </c>
      <c r="H285" s="8">
        <v>60.95</v>
      </c>
      <c r="I285" s="8">
        <v>8.1999999999999993</v>
      </c>
      <c r="J285" s="8">
        <v>2</v>
      </c>
    </row>
    <row r="286" spans="1:10" ht="14.25" customHeight="1">
      <c r="A286" s="8">
        <v>4251</v>
      </c>
      <c r="B286" s="8" t="s">
        <v>60</v>
      </c>
      <c r="C286" s="8" t="s">
        <v>45</v>
      </c>
      <c r="D286" s="8" t="s">
        <v>36</v>
      </c>
      <c r="E286" s="8" t="s">
        <v>30</v>
      </c>
      <c r="F286" s="8">
        <v>5</v>
      </c>
      <c r="G286" s="8">
        <v>2.2000000000000002</v>
      </c>
      <c r="H286" s="8">
        <v>1</v>
      </c>
      <c r="I286" s="8">
        <v>7.8</v>
      </c>
      <c r="J286" s="8">
        <v>3</v>
      </c>
    </row>
    <row r="287" spans="1:10" ht="14.25" customHeight="1">
      <c r="A287" s="8">
        <v>4238</v>
      </c>
      <c r="B287" s="8" t="s">
        <v>44</v>
      </c>
      <c r="C287" s="8" t="s">
        <v>35</v>
      </c>
      <c r="D287" s="8" t="s">
        <v>36</v>
      </c>
      <c r="E287" s="8" t="s">
        <v>49</v>
      </c>
      <c r="F287" s="8">
        <v>117</v>
      </c>
      <c r="G287" s="8">
        <v>3.2</v>
      </c>
      <c r="H287" s="8">
        <v>51.99</v>
      </c>
      <c r="I287" s="8">
        <v>7.3</v>
      </c>
      <c r="J287" s="8">
        <v>5</v>
      </c>
    </row>
    <row r="288" spans="1:10" ht="14.25" customHeight="1">
      <c r="A288" s="8">
        <v>4192</v>
      </c>
      <c r="B288" s="8" t="s">
        <v>60</v>
      </c>
      <c r="C288" s="8" t="s">
        <v>52</v>
      </c>
      <c r="D288" s="8" t="s">
        <v>36</v>
      </c>
      <c r="E288" s="8" t="s">
        <v>49</v>
      </c>
      <c r="F288" s="8">
        <v>162</v>
      </c>
      <c r="G288" s="8">
        <v>3.3</v>
      </c>
      <c r="H288" s="8">
        <v>27.72</v>
      </c>
      <c r="I288" s="8">
        <v>6.9</v>
      </c>
      <c r="J288" s="8">
        <v>10</v>
      </c>
    </row>
    <row r="289" spans="1:10" ht="14.25" customHeight="1">
      <c r="A289" s="8">
        <v>4275</v>
      </c>
      <c r="B289" s="8" t="s">
        <v>27</v>
      </c>
      <c r="C289" s="8" t="s">
        <v>59</v>
      </c>
      <c r="D289" s="8" t="s">
        <v>36</v>
      </c>
      <c r="E289" s="8" t="s">
        <v>42</v>
      </c>
      <c r="F289" s="8">
        <v>101</v>
      </c>
      <c r="G289" s="8">
        <v>4.2</v>
      </c>
      <c r="H289" s="8">
        <v>19.68</v>
      </c>
      <c r="I289" s="8">
        <v>7.6</v>
      </c>
      <c r="J289" s="8">
        <v>2</v>
      </c>
    </row>
    <row r="290" spans="1:10" ht="14.25" customHeight="1">
      <c r="A290" s="8">
        <v>4107</v>
      </c>
      <c r="B290" s="8" t="s">
        <v>60</v>
      </c>
      <c r="C290" s="8" t="s">
        <v>59</v>
      </c>
      <c r="D290" s="8" t="s">
        <v>47</v>
      </c>
      <c r="E290" s="8" t="s">
        <v>30</v>
      </c>
      <c r="F290" s="8">
        <v>224</v>
      </c>
      <c r="G290" s="8">
        <v>6.3</v>
      </c>
      <c r="H290" s="8">
        <v>62.72</v>
      </c>
      <c r="I290" s="8">
        <v>6.3</v>
      </c>
      <c r="J290" s="8">
        <v>10</v>
      </c>
    </row>
    <row r="291" spans="1:10" ht="14.25" customHeight="1">
      <c r="A291" s="8">
        <v>4300</v>
      </c>
      <c r="B291" s="8" t="s">
        <v>60</v>
      </c>
      <c r="C291" s="8" t="s">
        <v>52</v>
      </c>
      <c r="D291" s="8" t="s">
        <v>41</v>
      </c>
      <c r="E291" s="8" t="s">
        <v>53</v>
      </c>
      <c r="F291" s="8">
        <v>123</v>
      </c>
      <c r="G291" s="8">
        <v>16.7</v>
      </c>
      <c r="H291" s="8">
        <v>49.1</v>
      </c>
      <c r="I291" s="8">
        <v>7</v>
      </c>
      <c r="J291" s="8">
        <v>13</v>
      </c>
    </row>
    <row r="292" spans="1:10" ht="14.25" customHeight="1">
      <c r="A292" s="8">
        <v>4068</v>
      </c>
      <c r="B292" s="8" t="s">
        <v>58</v>
      </c>
      <c r="C292" s="8" t="s">
        <v>28</v>
      </c>
      <c r="D292" s="8" t="s">
        <v>36</v>
      </c>
      <c r="E292" s="8" t="s">
        <v>38</v>
      </c>
      <c r="F292" s="8">
        <v>104</v>
      </c>
      <c r="G292" s="8">
        <v>3.7</v>
      </c>
      <c r="H292" s="8">
        <v>51.14</v>
      </c>
      <c r="I292" s="8">
        <v>8.9</v>
      </c>
      <c r="J292" s="8">
        <v>0</v>
      </c>
    </row>
    <row r="293" spans="1:10" ht="14.25" customHeight="1">
      <c r="A293" s="8">
        <v>4104</v>
      </c>
      <c r="B293" s="8" t="s">
        <v>58</v>
      </c>
      <c r="C293" s="8" t="s">
        <v>35</v>
      </c>
      <c r="D293" s="8" t="s">
        <v>47</v>
      </c>
      <c r="E293" s="8" t="s">
        <v>38</v>
      </c>
      <c r="F293" s="8">
        <v>176</v>
      </c>
      <c r="G293" s="8">
        <v>2.7</v>
      </c>
      <c r="H293" s="8">
        <v>39.020000000000003</v>
      </c>
      <c r="I293" s="8">
        <v>8.1</v>
      </c>
      <c r="J293" s="8">
        <v>3</v>
      </c>
    </row>
    <row r="294" spans="1:10" ht="14.25" customHeight="1">
      <c r="A294" s="8">
        <v>4157</v>
      </c>
      <c r="B294" s="8" t="s">
        <v>58</v>
      </c>
      <c r="C294" s="8" t="s">
        <v>35</v>
      </c>
      <c r="D294" s="8" t="s">
        <v>47</v>
      </c>
      <c r="E294" s="8" t="s">
        <v>30</v>
      </c>
      <c r="F294" s="8">
        <v>176</v>
      </c>
      <c r="G294" s="8">
        <v>2.6</v>
      </c>
      <c r="H294" s="8">
        <v>61.14</v>
      </c>
      <c r="I294" s="8">
        <v>6.3</v>
      </c>
      <c r="J294" s="8">
        <v>7</v>
      </c>
    </row>
    <row r="295" spans="1:10" ht="14.25" customHeight="1">
      <c r="A295" s="8">
        <v>4132</v>
      </c>
      <c r="B295" s="8" t="s">
        <v>55</v>
      </c>
      <c r="C295" s="8" t="s">
        <v>28</v>
      </c>
      <c r="D295" s="8" t="s">
        <v>36</v>
      </c>
      <c r="E295" s="8" t="s">
        <v>42</v>
      </c>
      <c r="F295" s="8">
        <v>161</v>
      </c>
      <c r="G295" s="8">
        <v>2.8</v>
      </c>
      <c r="H295" s="8">
        <v>54.4</v>
      </c>
      <c r="I295" s="8">
        <v>8.3000000000000007</v>
      </c>
      <c r="J295" s="8">
        <v>15</v>
      </c>
    </row>
    <row r="296" spans="1:10" ht="14.25" customHeight="1">
      <c r="A296" s="8">
        <v>4277</v>
      </c>
      <c r="B296" s="8" t="s">
        <v>61</v>
      </c>
      <c r="C296" s="8" t="s">
        <v>28</v>
      </c>
      <c r="D296" s="8" t="s">
        <v>41</v>
      </c>
      <c r="E296" s="8" t="s">
        <v>42</v>
      </c>
      <c r="F296" s="8">
        <v>192</v>
      </c>
      <c r="G296" s="8">
        <v>8.5</v>
      </c>
      <c r="H296" s="8">
        <v>86.11</v>
      </c>
      <c r="I296" s="8">
        <v>5.7</v>
      </c>
      <c r="J296" s="8">
        <v>15</v>
      </c>
    </row>
    <row r="297" spans="1:10" ht="14.25" customHeight="1">
      <c r="A297" s="8">
        <v>4224</v>
      </c>
      <c r="B297" s="8" t="s">
        <v>40</v>
      </c>
      <c r="C297" s="8" t="s">
        <v>52</v>
      </c>
      <c r="D297" s="8" t="s">
        <v>29</v>
      </c>
      <c r="E297" s="8" t="s">
        <v>42</v>
      </c>
      <c r="F297" s="8">
        <v>158</v>
      </c>
      <c r="G297" s="8">
        <v>8.6</v>
      </c>
      <c r="H297" s="8">
        <v>34.340000000000003</v>
      </c>
      <c r="I297" s="8">
        <v>7.1</v>
      </c>
      <c r="J297" s="8">
        <v>11</v>
      </c>
    </row>
    <row r="298" spans="1:10" ht="14.25" customHeight="1">
      <c r="A298" s="8">
        <v>4195</v>
      </c>
      <c r="B298" s="8" t="s">
        <v>60</v>
      </c>
      <c r="C298" s="8" t="s">
        <v>28</v>
      </c>
      <c r="D298" s="8" t="s">
        <v>36</v>
      </c>
      <c r="E298" s="8" t="s">
        <v>42</v>
      </c>
      <c r="F298" s="8">
        <v>142</v>
      </c>
      <c r="G298" s="8">
        <v>3</v>
      </c>
      <c r="H298" s="8">
        <v>65.41</v>
      </c>
      <c r="I298" s="8">
        <v>7.9</v>
      </c>
      <c r="J298" s="8">
        <v>0</v>
      </c>
    </row>
    <row r="299" spans="1:10" ht="14.25" customHeight="1">
      <c r="A299" s="8">
        <v>4128</v>
      </c>
      <c r="B299" s="8" t="s">
        <v>61</v>
      </c>
      <c r="C299" s="8" t="s">
        <v>28</v>
      </c>
      <c r="D299" s="8" t="s">
        <v>47</v>
      </c>
      <c r="E299" s="8" t="s">
        <v>30</v>
      </c>
      <c r="F299" s="8">
        <v>56</v>
      </c>
      <c r="G299" s="8">
        <v>6.1</v>
      </c>
      <c r="H299" s="8">
        <v>17.850000000000001</v>
      </c>
      <c r="I299" s="8">
        <v>7.6</v>
      </c>
      <c r="J299" s="8">
        <v>7</v>
      </c>
    </row>
    <row r="300" spans="1:10" ht="14.25" customHeight="1">
      <c r="A300" s="8">
        <v>4156</v>
      </c>
      <c r="B300" s="8" t="s">
        <v>40</v>
      </c>
      <c r="C300" s="8" t="s">
        <v>35</v>
      </c>
      <c r="D300" s="8" t="s">
        <v>41</v>
      </c>
      <c r="E300" s="8" t="s">
        <v>53</v>
      </c>
      <c r="F300" s="8">
        <v>160</v>
      </c>
      <c r="G300" s="8">
        <v>10.6</v>
      </c>
      <c r="H300" s="8">
        <v>53.97</v>
      </c>
      <c r="I300" s="8">
        <v>8.6999999999999993</v>
      </c>
      <c r="J300" s="8">
        <v>13</v>
      </c>
    </row>
    <row r="301" spans="1:10" ht="14.25" customHeight="1">
      <c r="A301" s="8">
        <v>4158</v>
      </c>
      <c r="B301" s="8" t="s">
        <v>34</v>
      </c>
      <c r="C301" s="8" t="s">
        <v>35</v>
      </c>
      <c r="D301" s="8" t="s">
        <v>36</v>
      </c>
      <c r="E301" s="8" t="s">
        <v>38</v>
      </c>
      <c r="F301" s="8">
        <v>184</v>
      </c>
      <c r="G301" s="8">
        <v>3.3</v>
      </c>
      <c r="H301" s="8">
        <v>82.01</v>
      </c>
      <c r="I301" s="8">
        <v>9.8000000000000007</v>
      </c>
      <c r="J301" s="8">
        <v>10</v>
      </c>
    </row>
    <row r="302" spans="1:10" ht="14.25" customHeight="1">
      <c r="A302" s="8">
        <v>4027</v>
      </c>
      <c r="B302" s="8" t="s">
        <v>55</v>
      </c>
      <c r="C302" s="8" t="s">
        <v>35</v>
      </c>
      <c r="D302" s="8" t="s">
        <v>41</v>
      </c>
      <c r="E302" s="8" t="s">
        <v>53</v>
      </c>
      <c r="F302" s="8">
        <v>117</v>
      </c>
      <c r="G302" s="8">
        <v>10.6</v>
      </c>
      <c r="H302" s="8">
        <v>17.899999999999999</v>
      </c>
      <c r="I302" s="8">
        <v>6.9</v>
      </c>
      <c r="J302" s="8">
        <v>0</v>
      </c>
    </row>
    <row r="303" spans="1:10" ht="14.25" customHeight="1">
      <c r="A303" s="8">
        <v>4216</v>
      </c>
      <c r="B303" s="8" t="s">
        <v>60</v>
      </c>
      <c r="C303" s="8" t="s">
        <v>45</v>
      </c>
      <c r="D303" s="8" t="s">
        <v>29</v>
      </c>
      <c r="E303" s="8" t="s">
        <v>53</v>
      </c>
      <c r="F303" s="8">
        <v>105</v>
      </c>
      <c r="G303" s="8">
        <v>3.9</v>
      </c>
      <c r="H303" s="8">
        <v>44.36</v>
      </c>
      <c r="I303" s="8">
        <v>9.5</v>
      </c>
      <c r="J303" s="8">
        <v>5</v>
      </c>
    </row>
    <row r="304" spans="1:10" ht="14.25" customHeight="1">
      <c r="A304" s="8">
        <v>4262</v>
      </c>
      <c r="B304" s="8" t="s">
        <v>55</v>
      </c>
      <c r="C304" s="8" t="s">
        <v>28</v>
      </c>
      <c r="D304" s="8" t="s">
        <v>29</v>
      </c>
      <c r="E304" s="8" t="s">
        <v>38</v>
      </c>
      <c r="F304" s="8">
        <v>173</v>
      </c>
      <c r="G304" s="8">
        <v>12.8</v>
      </c>
      <c r="H304" s="8">
        <v>57.84</v>
      </c>
      <c r="I304" s="8">
        <v>8.1999999999999993</v>
      </c>
      <c r="J304" s="8">
        <v>14</v>
      </c>
    </row>
    <row r="305" spans="1:10" ht="14.25" customHeight="1">
      <c r="A305" s="8">
        <v>4203</v>
      </c>
      <c r="B305" s="8" t="s">
        <v>44</v>
      </c>
      <c r="C305" s="8" t="s">
        <v>52</v>
      </c>
      <c r="D305" s="8" t="s">
        <v>47</v>
      </c>
      <c r="E305" s="8" t="s">
        <v>42</v>
      </c>
      <c r="F305" s="8">
        <v>96</v>
      </c>
      <c r="G305" s="8">
        <v>2.7</v>
      </c>
      <c r="H305" s="8">
        <v>19.190000000000001</v>
      </c>
      <c r="I305" s="8">
        <v>8.3000000000000007</v>
      </c>
      <c r="J305" s="8">
        <v>7</v>
      </c>
    </row>
    <row r="306" spans="1:10" ht="14.25" customHeight="1">
      <c r="A306" s="8">
        <v>4285</v>
      </c>
      <c r="B306" s="8" t="s">
        <v>40</v>
      </c>
      <c r="C306" s="8" t="s">
        <v>52</v>
      </c>
      <c r="D306" s="8" t="s">
        <v>47</v>
      </c>
      <c r="E306" s="8" t="s">
        <v>49</v>
      </c>
      <c r="F306" s="8">
        <v>81</v>
      </c>
      <c r="G306" s="8">
        <v>1.3</v>
      </c>
      <c r="H306" s="8">
        <v>26.91</v>
      </c>
      <c r="I306" s="8">
        <v>8</v>
      </c>
      <c r="J306" s="8">
        <v>9</v>
      </c>
    </row>
    <row r="307" spans="1:10" ht="14.25" customHeight="1">
      <c r="A307" s="8">
        <v>4153</v>
      </c>
      <c r="B307" s="8" t="s">
        <v>55</v>
      </c>
      <c r="C307" s="8" t="s">
        <v>45</v>
      </c>
      <c r="D307" s="8" t="s">
        <v>36</v>
      </c>
      <c r="E307" s="8" t="s">
        <v>42</v>
      </c>
      <c r="F307" s="8">
        <v>149</v>
      </c>
      <c r="G307" s="8">
        <v>3</v>
      </c>
      <c r="H307" s="8">
        <v>76.959999999999994</v>
      </c>
      <c r="I307" s="8">
        <v>7.4</v>
      </c>
      <c r="J307" s="8">
        <v>10</v>
      </c>
    </row>
    <row r="308" spans="1:10" ht="14.25" customHeight="1">
      <c r="A308" s="8">
        <v>4131</v>
      </c>
      <c r="B308" s="8" t="s">
        <v>34</v>
      </c>
      <c r="C308" s="8" t="s">
        <v>45</v>
      </c>
      <c r="D308" s="8" t="s">
        <v>36</v>
      </c>
      <c r="E308" s="8" t="s">
        <v>30</v>
      </c>
      <c r="F308" s="8">
        <v>72</v>
      </c>
      <c r="G308" s="8">
        <v>3.5</v>
      </c>
      <c r="H308" s="8">
        <v>19.11</v>
      </c>
      <c r="I308" s="8">
        <v>7.7</v>
      </c>
      <c r="J308" s="8">
        <v>3</v>
      </c>
    </row>
    <row r="309" spans="1:10" ht="14.25" customHeight="1">
      <c r="A309" s="8">
        <v>4197</v>
      </c>
      <c r="B309" s="8" t="s">
        <v>34</v>
      </c>
      <c r="C309" s="8" t="s">
        <v>45</v>
      </c>
      <c r="D309" s="8" t="s">
        <v>29</v>
      </c>
      <c r="E309" s="8" t="s">
        <v>49</v>
      </c>
      <c r="F309" s="8">
        <v>154</v>
      </c>
      <c r="G309" s="8">
        <v>8.5</v>
      </c>
      <c r="H309" s="8">
        <v>62.11</v>
      </c>
      <c r="I309" s="8">
        <v>7.5</v>
      </c>
      <c r="J309" s="8">
        <v>9</v>
      </c>
    </row>
    <row r="310" spans="1:10" ht="14.25" customHeight="1">
      <c r="A310" s="8">
        <v>4161</v>
      </c>
      <c r="B310" s="8" t="s">
        <v>58</v>
      </c>
      <c r="C310" s="8" t="s">
        <v>28</v>
      </c>
      <c r="D310" s="8" t="s">
        <v>36</v>
      </c>
      <c r="E310" s="8" t="s">
        <v>42</v>
      </c>
      <c r="F310" s="8">
        <v>261</v>
      </c>
      <c r="G310" s="8">
        <v>2.8</v>
      </c>
      <c r="H310" s="8">
        <v>76.819999999999993</v>
      </c>
      <c r="I310" s="8">
        <v>9.1</v>
      </c>
      <c r="J310" s="8">
        <v>17</v>
      </c>
    </row>
    <row r="311" spans="1:10" ht="14.25" customHeight="1">
      <c r="A311" s="8">
        <v>4045</v>
      </c>
      <c r="B311" s="8" t="s">
        <v>60</v>
      </c>
      <c r="C311" s="8" t="s">
        <v>52</v>
      </c>
      <c r="D311" s="8" t="s">
        <v>41</v>
      </c>
      <c r="E311" s="8" t="s">
        <v>49</v>
      </c>
      <c r="F311" s="8">
        <v>162</v>
      </c>
      <c r="G311" s="8">
        <v>15.3</v>
      </c>
      <c r="H311" s="8">
        <v>28.42</v>
      </c>
      <c r="I311" s="8">
        <v>9.4</v>
      </c>
      <c r="J311" s="8">
        <v>9</v>
      </c>
    </row>
    <row r="312" spans="1:10" ht="14.25" customHeight="1">
      <c r="A312" s="8">
        <v>4135</v>
      </c>
      <c r="B312" s="8" t="s">
        <v>44</v>
      </c>
      <c r="C312" s="8" t="s">
        <v>28</v>
      </c>
      <c r="D312" s="8" t="s">
        <v>41</v>
      </c>
      <c r="E312" s="8" t="s">
        <v>42</v>
      </c>
      <c r="F312" s="8">
        <v>63</v>
      </c>
      <c r="G312" s="8">
        <v>8.6</v>
      </c>
      <c r="H312" s="8">
        <v>31.16</v>
      </c>
      <c r="I312" s="8">
        <v>8.3000000000000007</v>
      </c>
      <c r="J312" s="8">
        <v>0</v>
      </c>
    </row>
    <row r="313" spans="1:10" ht="14.25" customHeight="1">
      <c r="A313" s="8">
        <v>4267</v>
      </c>
      <c r="B313" s="8" t="s">
        <v>27</v>
      </c>
      <c r="C313" s="8" t="s">
        <v>45</v>
      </c>
      <c r="D313" s="8" t="s">
        <v>47</v>
      </c>
      <c r="E313" s="8" t="s">
        <v>30</v>
      </c>
      <c r="F313" s="8">
        <v>156</v>
      </c>
      <c r="G313" s="8">
        <v>6.4</v>
      </c>
      <c r="H313" s="8">
        <v>70.510000000000005</v>
      </c>
      <c r="I313" s="8">
        <v>9</v>
      </c>
      <c r="J313" s="8">
        <v>0</v>
      </c>
    </row>
    <row r="314" spans="1:10" ht="14.25" customHeight="1">
      <c r="A314" s="8">
        <v>4141</v>
      </c>
      <c r="B314" s="8" t="s">
        <v>61</v>
      </c>
      <c r="C314" s="8" t="s">
        <v>28</v>
      </c>
      <c r="D314" s="8" t="s">
        <v>47</v>
      </c>
      <c r="E314" s="8" t="s">
        <v>30</v>
      </c>
      <c r="F314" s="8">
        <v>135</v>
      </c>
      <c r="G314" s="8">
        <v>6.5</v>
      </c>
      <c r="H314" s="8">
        <v>21.02</v>
      </c>
      <c r="I314" s="8">
        <v>10</v>
      </c>
      <c r="J314" s="8">
        <v>6</v>
      </c>
    </row>
    <row r="315" spans="1:10" ht="14.25" customHeight="1">
      <c r="A315" s="8">
        <v>4276</v>
      </c>
      <c r="B315" s="8" t="s">
        <v>60</v>
      </c>
      <c r="C315" s="8" t="s">
        <v>45</v>
      </c>
      <c r="D315" s="8" t="s">
        <v>29</v>
      </c>
      <c r="E315" s="8" t="s">
        <v>38</v>
      </c>
      <c r="F315" s="8">
        <v>213</v>
      </c>
      <c r="G315" s="8">
        <v>7.9</v>
      </c>
      <c r="H315" s="8">
        <v>32.64</v>
      </c>
      <c r="I315" s="8">
        <v>8</v>
      </c>
      <c r="J315" s="8">
        <v>15</v>
      </c>
    </row>
    <row r="316" spans="1:10" ht="14.25" customHeight="1">
      <c r="A316" s="8">
        <v>4096</v>
      </c>
      <c r="B316" s="8" t="s">
        <v>61</v>
      </c>
      <c r="C316" s="8" t="s">
        <v>28</v>
      </c>
      <c r="D316" s="8" t="s">
        <v>47</v>
      </c>
      <c r="E316" s="8" t="s">
        <v>49</v>
      </c>
      <c r="F316" s="8">
        <v>317</v>
      </c>
      <c r="G316" s="8">
        <v>3.9</v>
      </c>
      <c r="H316" s="8">
        <v>89.69</v>
      </c>
      <c r="I316" s="8">
        <v>9.6999999999999993</v>
      </c>
      <c r="J316" s="8">
        <v>19</v>
      </c>
    </row>
    <row r="317" spans="1:10" ht="14.25" customHeight="1">
      <c r="A317" s="8">
        <v>4004</v>
      </c>
      <c r="B317" s="8" t="s">
        <v>55</v>
      </c>
      <c r="C317" s="8" t="s">
        <v>59</v>
      </c>
      <c r="D317" s="8" t="s">
        <v>41</v>
      </c>
      <c r="E317" s="8" t="s">
        <v>49</v>
      </c>
      <c r="F317" s="8">
        <v>174</v>
      </c>
      <c r="G317" s="8">
        <v>17.2</v>
      </c>
      <c r="H317" s="8">
        <v>69.91</v>
      </c>
      <c r="I317" s="8">
        <v>7.1</v>
      </c>
      <c r="J317" s="8">
        <v>7</v>
      </c>
    </row>
    <row r="318" spans="1:10" ht="14.25" customHeight="1">
      <c r="A318" s="8">
        <v>4266</v>
      </c>
      <c r="B318" s="8" t="s">
        <v>60</v>
      </c>
      <c r="C318" s="8" t="s">
        <v>52</v>
      </c>
      <c r="D318" s="8" t="s">
        <v>36</v>
      </c>
      <c r="E318" s="8" t="s">
        <v>42</v>
      </c>
      <c r="F318" s="8">
        <v>65</v>
      </c>
      <c r="G318" s="8">
        <v>0.8</v>
      </c>
      <c r="H318" s="8">
        <v>16.91</v>
      </c>
      <c r="I318" s="8">
        <v>7.5</v>
      </c>
      <c r="J318" s="8">
        <v>1</v>
      </c>
    </row>
    <row r="319" spans="1:10" ht="14.25" customHeight="1">
      <c r="A319" s="8">
        <v>4098</v>
      </c>
      <c r="B319" s="8" t="s">
        <v>58</v>
      </c>
      <c r="C319" s="8" t="s">
        <v>35</v>
      </c>
      <c r="D319" s="8" t="s">
        <v>41</v>
      </c>
      <c r="E319" s="8" t="s">
        <v>38</v>
      </c>
      <c r="F319" s="8">
        <v>209</v>
      </c>
      <c r="G319" s="8">
        <v>14.1</v>
      </c>
      <c r="H319" s="8">
        <v>99.66</v>
      </c>
      <c r="I319" s="8">
        <v>7</v>
      </c>
      <c r="J319" s="8">
        <v>15</v>
      </c>
    </row>
    <row r="320" spans="1:10" ht="14.25" customHeight="1">
      <c r="A320" s="8">
        <v>4252</v>
      </c>
      <c r="B320" s="8" t="s">
        <v>40</v>
      </c>
      <c r="C320" s="8" t="s">
        <v>59</v>
      </c>
      <c r="D320" s="8" t="s">
        <v>41</v>
      </c>
      <c r="E320" s="8" t="s">
        <v>49</v>
      </c>
      <c r="F320" s="8">
        <v>160</v>
      </c>
      <c r="G320" s="8">
        <v>16</v>
      </c>
      <c r="H320" s="8">
        <v>60.91</v>
      </c>
      <c r="I320" s="8">
        <v>6.4</v>
      </c>
      <c r="J320" s="8">
        <v>10</v>
      </c>
    </row>
    <row r="321" spans="1:10" ht="14.25" customHeight="1">
      <c r="A321" s="8">
        <v>4165</v>
      </c>
      <c r="B321" s="8" t="s">
        <v>60</v>
      </c>
      <c r="C321" s="8" t="s">
        <v>28</v>
      </c>
      <c r="D321" s="8" t="s">
        <v>47</v>
      </c>
      <c r="E321" s="8" t="s">
        <v>38</v>
      </c>
      <c r="F321" s="8">
        <v>64</v>
      </c>
      <c r="G321" s="8">
        <v>6</v>
      </c>
      <c r="H321" s="8">
        <v>26.16</v>
      </c>
      <c r="I321" s="8">
        <v>7.7</v>
      </c>
      <c r="J321" s="8">
        <v>2</v>
      </c>
    </row>
    <row r="322" spans="1:10" ht="14.25" customHeight="1">
      <c r="A322" s="8">
        <v>4075</v>
      </c>
      <c r="B322" s="8" t="s">
        <v>40</v>
      </c>
      <c r="C322" s="8" t="s">
        <v>52</v>
      </c>
      <c r="D322" s="8" t="s">
        <v>29</v>
      </c>
      <c r="E322" s="8" t="s">
        <v>30</v>
      </c>
      <c r="F322" s="8">
        <v>189</v>
      </c>
      <c r="G322" s="8">
        <v>7.1</v>
      </c>
      <c r="H322" s="8">
        <v>97.58</v>
      </c>
      <c r="I322" s="8">
        <v>8.5</v>
      </c>
      <c r="J322" s="8">
        <v>13</v>
      </c>
    </row>
    <row r="323" spans="1:10" ht="14.25" customHeight="1">
      <c r="A323" s="8">
        <v>4321</v>
      </c>
      <c r="B323" s="8" t="s">
        <v>34</v>
      </c>
      <c r="C323" s="8" t="s">
        <v>52</v>
      </c>
      <c r="D323" s="8" t="s">
        <v>36</v>
      </c>
      <c r="E323" s="8" t="s">
        <v>42</v>
      </c>
      <c r="F323" s="8">
        <v>74</v>
      </c>
      <c r="G323" s="8">
        <v>2.9</v>
      </c>
      <c r="H323" s="8">
        <v>1</v>
      </c>
      <c r="I323" s="8">
        <v>10</v>
      </c>
      <c r="J323" s="8">
        <v>2</v>
      </c>
    </row>
    <row r="324" spans="1:10" ht="14.25" customHeight="1">
      <c r="A324" s="8">
        <v>4026</v>
      </c>
      <c r="B324" s="8" t="s">
        <v>40</v>
      </c>
      <c r="C324" s="8" t="s">
        <v>45</v>
      </c>
      <c r="D324" s="8" t="s">
        <v>41</v>
      </c>
      <c r="E324" s="8" t="s">
        <v>42</v>
      </c>
      <c r="F324" s="8">
        <v>46</v>
      </c>
      <c r="G324" s="8">
        <v>14.8</v>
      </c>
      <c r="H324" s="8">
        <v>27.84</v>
      </c>
      <c r="I324" s="8">
        <v>8.1999999999999993</v>
      </c>
      <c r="J324" s="8">
        <v>0</v>
      </c>
    </row>
    <row r="325" spans="1:10" ht="14.25" customHeight="1">
      <c r="A325" s="8">
        <v>4209</v>
      </c>
      <c r="B325" s="8" t="s">
        <v>58</v>
      </c>
      <c r="C325" s="8" t="s">
        <v>59</v>
      </c>
      <c r="D325" s="8" t="s">
        <v>47</v>
      </c>
      <c r="E325" s="8" t="s">
        <v>38</v>
      </c>
      <c r="F325" s="8">
        <v>195</v>
      </c>
      <c r="G325" s="8">
        <v>2.4</v>
      </c>
      <c r="H325" s="8">
        <v>95.83</v>
      </c>
      <c r="I325" s="8">
        <v>7</v>
      </c>
      <c r="J325" s="8">
        <v>12</v>
      </c>
    </row>
    <row r="326" spans="1:10" ht="14.25" customHeight="1">
      <c r="A326" s="8">
        <v>4072</v>
      </c>
      <c r="B326" s="8" t="s">
        <v>61</v>
      </c>
      <c r="C326" s="8" t="s">
        <v>35</v>
      </c>
      <c r="D326" s="8" t="s">
        <v>47</v>
      </c>
      <c r="E326" s="8" t="s">
        <v>38</v>
      </c>
      <c r="F326" s="8">
        <v>126</v>
      </c>
      <c r="G326" s="8">
        <v>0.2</v>
      </c>
      <c r="H326" s="8">
        <v>29.03</v>
      </c>
      <c r="I326" s="8">
        <v>7.2</v>
      </c>
      <c r="J326" s="8">
        <v>14</v>
      </c>
    </row>
    <row r="327" spans="1:10" ht="14.25" customHeight="1">
      <c r="A327" s="8">
        <v>4299</v>
      </c>
      <c r="B327" s="8" t="s">
        <v>44</v>
      </c>
      <c r="C327" s="8" t="s">
        <v>45</v>
      </c>
      <c r="D327" s="8" t="s">
        <v>41</v>
      </c>
      <c r="E327" s="8" t="s">
        <v>49</v>
      </c>
      <c r="F327" s="8">
        <v>193</v>
      </c>
      <c r="G327" s="8">
        <v>10.6</v>
      </c>
      <c r="H327" s="8">
        <v>44.08</v>
      </c>
      <c r="I327" s="8">
        <v>9.5</v>
      </c>
      <c r="J327" s="8">
        <v>13</v>
      </c>
    </row>
    <row r="328" spans="1:10" ht="14.25" customHeight="1">
      <c r="A328" s="8">
        <v>4214</v>
      </c>
      <c r="B328" s="8" t="s">
        <v>44</v>
      </c>
      <c r="C328" s="8" t="s">
        <v>35</v>
      </c>
      <c r="D328" s="8" t="s">
        <v>29</v>
      </c>
      <c r="E328" s="8" t="s">
        <v>42</v>
      </c>
      <c r="F328" s="8">
        <v>181</v>
      </c>
      <c r="G328" s="8">
        <v>1.6</v>
      </c>
      <c r="H328" s="8">
        <v>45.78</v>
      </c>
      <c r="I328" s="8">
        <v>8.8000000000000007</v>
      </c>
      <c r="J328" s="8">
        <v>9</v>
      </c>
    </row>
    <row r="329" spans="1:10" ht="14.25" customHeight="1">
      <c r="A329" s="8">
        <v>4282</v>
      </c>
      <c r="B329" s="8" t="s">
        <v>40</v>
      </c>
      <c r="C329" s="8" t="s">
        <v>52</v>
      </c>
      <c r="D329" s="8" t="s">
        <v>47</v>
      </c>
      <c r="E329" s="8" t="s">
        <v>42</v>
      </c>
      <c r="F329" s="8">
        <v>106</v>
      </c>
      <c r="G329" s="8">
        <v>5.4</v>
      </c>
      <c r="H329" s="8">
        <v>39.96</v>
      </c>
      <c r="I329" s="8">
        <v>7.5</v>
      </c>
      <c r="J329" s="8">
        <v>5</v>
      </c>
    </row>
    <row r="330" spans="1:10" ht="14.25" customHeight="1">
      <c r="A330" s="8">
        <v>4263</v>
      </c>
      <c r="B330" s="8" t="s">
        <v>60</v>
      </c>
      <c r="C330" s="8" t="s">
        <v>45</v>
      </c>
      <c r="D330" s="8" t="s">
        <v>29</v>
      </c>
      <c r="E330" s="8" t="s">
        <v>30</v>
      </c>
      <c r="F330" s="8">
        <v>121</v>
      </c>
      <c r="G330" s="8">
        <v>11.3</v>
      </c>
      <c r="H330" s="8">
        <v>39.06</v>
      </c>
      <c r="I330" s="8">
        <v>8.4</v>
      </c>
      <c r="J330" s="8">
        <v>1</v>
      </c>
    </row>
    <row r="331" spans="1:10" ht="14.25" customHeight="1">
      <c r="A331" s="8">
        <v>4248</v>
      </c>
      <c r="B331" s="8" t="s">
        <v>60</v>
      </c>
      <c r="C331" s="8" t="s">
        <v>35</v>
      </c>
      <c r="D331" s="8" t="s">
        <v>47</v>
      </c>
      <c r="E331" s="8" t="s">
        <v>38</v>
      </c>
      <c r="F331" s="8">
        <v>33</v>
      </c>
      <c r="G331" s="8">
        <v>4.3</v>
      </c>
      <c r="H331" s="8">
        <v>13.7</v>
      </c>
      <c r="I331" s="8">
        <v>8</v>
      </c>
      <c r="J331" s="8">
        <v>0</v>
      </c>
    </row>
    <row r="332" spans="1:10" ht="14.25" customHeight="1">
      <c r="A332" s="8">
        <v>4172</v>
      </c>
      <c r="B332" s="8" t="s">
        <v>58</v>
      </c>
      <c r="C332" s="8" t="s">
        <v>45</v>
      </c>
      <c r="D332" s="8" t="s">
        <v>47</v>
      </c>
      <c r="E332" s="8" t="s">
        <v>49</v>
      </c>
      <c r="F332" s="8">
        <v>51</v>
      </c>
      <c r="G332" s="8">
        <v>2.7</v>
      </c>
      <c r="H332" s="8">
        <v>21.44</v>
      </c>
      <c r="I332" s="8">
        <v>7.8</v>
      </c>
      <c r="J332" s="8">
        <v>1</v>
      </c>
    </row>
    <row r="333" spans="1:10" ht="14.25" customHeight="1">
      <c r="A333" s="8">
        <v>4103</v>
      </c>
      <c r="B333" s="8" t="s">
        <v>34</v>
      </c>
      <c r="C333" s="8" t="s">
        <v>28</v>
      </c>
      <c r="D333" s="8" t="s">
        <v>29</v>
      </c>
      <c r="E333" s="8" t="s">
        <v>42</v>
      </c>
      <c r="G333" s="8">
        <v>2.8</v>
      </c>
      <c r="H333" s="8">
        <v>80.569999999999993</v>
      </c>
      <c r="I333" s="8">
        <v>8.6999999999999993</v>
      </c>
      <c r="J333" s="8">
        <v>9</v>
      </c>
    </row>
    <row r="334" spans="1:10" ht="14.25" customHeight="1">
      <c r="A334" s="8">
        <v>4029</v>
      </c>
      <c r="B334" s="8" t="s">
        <v>34</v>
      </c>
      <c r="C334" s="8" t="s">
        <v>28</v>
      </c>
      <c r="D334" s="8" t="s">
        <v>36</v>
      </c>
      <c r="E334" s="8" t="s">
        <v>42</v>
      </c>
      <c r="F334" s="8">
        <v>220</v>
      </c>
      <c r="G334" s="8">
        <v>2.8</v>
      </c>
      <c r="H334" s="8">
        <v>49.53</v>
      </c>
      <c r="I334" s="8">
        <v>9.1999999999999993</v>
      </c>
      <c r="J334" s="8">
        <v>14</v>
      </c>
    </row>
    <row r="335" spans="1:10" ht="14.25" customHeight="1"/>
    <row r="336" spans="1:10" ht="14.25" customHeight="1"/>
    <row r="337" ht="14.25" customHeight="1"/>
    <row r="338" ht="14.25" customHeight="1"/>
    <row r="339" ht="14.25" customHeight="1"/>
    <row r="340" ht="69"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334">
    <cfRule type="duplicateValues" dxfId="1" priority="1"/>
  </conditionalFormatting>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5"/>
  <sheetViews>
    <sheetView workbookViewId="0">
      <selection sqref="A1:B1"/>
    </sheetView>
  </sheetViews>
  <sheetFormatPr baseColWidth="10" defaultColWidth="14.5" defaultRowHeight="15" customHeight="1"/>
  <cols>
    <col min="1" max="1" width="8" customWidth="1"/>
    <col min="2" max="2" width="150" customWidth="1"/>
    <col min="3" max="6" width="8.5" customWidth="1"/>
  </cols>
  <sheetData>
    <row r="1" spans="1:4" ht="30" customHeight="1">
      <c r="A1" s="74" t="s">
        <v>3</v>
      </c>
      <c r="B1" s="75"/>
      <c r="C1" s="6"/>
      <c r="D1" s="6"/>
    </row>
    <row r="2" spans="1:4" ht="14.25" customHeight="1">
      <c r="A2" s="6"/>
      <c r="B2" s="6"/>
      <c r="C2" s="6"/>
      <c r="D2" s="6"/>
    </row>
    <row r="3" spans="1:4" ht="18" customHeight="1">
      <c r="A3" s="76" t="s">
        <v>17</v>
      </c>
      <c r="B3" s="75"/>
      <c r="C3" s="6"/>
      <c r="D3" s="6"/>
    </row>
    <row r="4" spans="1:4" ht="28">
      <c r="A4" s="7">
        <v>1</v>
      </c>
      <c r="B4" s="9" t="s">
        <v>25</v>
      </c>
      <c r="C4" s="6"/>
      <c r="D4" s="6"/>
    </row>
    <row r="5" spans="1:4" ht="28">
      <c r="A5" s="7">
        <v>2</v>
      </c>
      <c r="B5" s="9" t="s">
        <v>31</v>
      </c>
      <c r="C5" s="6"/>
      <c r="D5" s="6"/>
    </row>
    <row r="6" spans="1:4" ht="28">
      <c r="A6" s="7">
        <v>3</v>
      </c>
      <c r="B6" s="9" t="s">
        <v>32</v>
      </c>
      <c r="C6" s="6"/>
      <c r="D6" s="6"/>
    </row>
    <row r="7" spans="1:4" ht="28">
      <c r="A7" s="7">
        <v>4</v>
      </c>
      <c r="B7" s="9" t="s">
        <v>33</v>
      </c>
      <c r="C7" s="6"/>
      <c r="D7" s="6"/>
    </row>
    <row r="8" spans="1:4" ht="28">
      <c r="A8" s="7">
        <v>5</v>
      </c>
      <c r="B8" s="9" t="s">
        <v>37</v>
      </c>
      <c r="C8" s="6"/>
      <c r="D8" s="6"/>
    </row>
    <row r="9" spans="1:4" ht="14.25" customHeight="1">
      <c r="A9" s="6"/>
      <c r="B9" s="6"/>
      <c r="C9" s="6"/>
      <c r="D9" s="6"/>
    </row>
    <row r="10" spans="1:4" ht="18" customHeight="1">
      <c r="A10" s="76" t="s">
        <v>39</v>
      </c>
      <c r="B10" s="75"/>
      <c r="C10" s="6"/>
      <c r="D10" s="6"/>
    </row>
    <row r="11" spans="1:4" ht="56">
      <c r="A11" s="7">
        <v>6</v>
      </c>
      <c r="B11" s="9" t="s">
        <v>43</v>
      </c>
      <c r="C11" s="6"/>
      <c r="D11" s="6"/>
    </row>
    <row r="12" spans="1:4" ht="14.25" customHeight="1">
      <c r="A12" s="6"/>
      <c r="B12" s="6"/>
      <c r="C12" s="6"/>
      <c r="D12" s="6"/>
    </row>
    <row r="13" spans="1:4" ht="18" customHeight="1">
      <c r="A13" s="76" t="s">
        <v>46</v>
      </c>
      <c r="B13" s="75"/>
      <c r="C13" s="6"/>
      <c r="D13" s="6"/>
    </row>
    <row r="14" spans="1:4" ht="28">
      <c r="A14" s="7">
        <v>7</v>
      </c>
      <c r="B14" s="9" t="s">
        <v>48</v>
      </c>
      <c r="C14" s="6"/>
      <c r="D14" s="6"/>
    </row>
    <row r="15" spans="1:4" ht="28">
      <c r="A15" s="7">
        <v>8</v>
      </c>
      <c r="B15" s="9" t="s">
        <v>50</v>
      </c>
      <c r="C15" s="6"/>
      <c r="D15" s="6"/>
    </row>
    <row r="16" spans="1:4" ht="28">
      <c r="A16" s="7">
        <v>9</v>
      </c>
      <c r="B16" s="9" t="s">
        <v>51</v>
      </c>
      <c r="C16" s="6"/>
      <c r="D16" s="6"/>
    </row>
    <row r="17" spans="1:4" ht="14.25" customHeight="1">
      <c r="A17" s="6"/>
      <c r="B17" s="6"/>
      <c r="C17" s="6"/>
      <c r="D17" s="6"/>
    </row>
    <row r="18" spans="1:4" ht="18" customHeight="1">
      <c r="A18" s="76" t="s">
        <v>54</v>
      </c>
      <c r="B18" s="75"/>
      <c r="C18" s="6"/>
      <c r="D18" s="6"/>
    </row>
    <row r="19" spans="1:4" ht="28">
      <c r="A19" s="7">
        <v>10</v>
      </c>
      <c r="B19" s="9" t="s">
        <v>56</v>
      </c>
      <c r="C19" s="6"/>
      <c r="D19" s="6"/>
    </row>
    <row r="20" spans="1:4" ht="28">
      <c r="A20" s="7">
        <v>11</v>
      </c>
      <c r="B20" s="9" t="s">
        <v>57</v>
      </c>
      <c r="C20" s="6"/>
      <c r="D20" s="6"/>
    </row>
    <row r="21" spans="1:4" ht="14.25" customHeight="1">
      <c r="A21" s="6"/>
      <c r="B21" s="6"/>
      <c r="C21" s="6"/>
      <c r="D21" s="6"/>
    </row>
    <row r="22" spans="1:4" ht="14.25" customHeight="1">
      <c r="A22" s="6"/>
      <c r="B22" s="6"/>
      <c r="C22" s="6"/>
      <c r="D22" s="6"/>
    </row>
    <row r="23" spans="1:4" ht="14.25" customHeight="1">
      <c r="A23" s="6"/>
      <c r="B23" s="6"/>
      <c r="C23" s="6"/>
      <c r="D23" s="6"/>
    </row>
    <row r="24" spans="1:4" ht="14.25" customHeight="1">
      <c r="A24" s="6"/>
      <c r="B24" s="6"/>
      <c r="C24" s="6"/>
      <c r="D24" s="6"/>
    </row>
    <row r="25" spans="1:4" ht="14.25" customHeight="1">
      <c r="A25" s="6"/>
      <c r="B25" s="6"/>
      <c r="C25" s="6"/>
      <c r="D25" s="6"/>
    </row>
    <row r="26" spans="1:4" ht="14.25" customHeight="1">
      <c r="A26" s="6"/>
      <c r="B26" s="6"/>
      <c r="C26" s="6"/>
      <c r="D26" s="6"/>
    </row>
    <row r="27" spans="1:4" ht="14.25" customHeight="1">
      <c r="A27" s="6"/>
      <c r="B27" s="6"/>
      <c r="C27" s="6"/>
      <c r="D27" s="6"/>
    </row>
    <row r="28" spans="1:4" ht="14.25" customHeight="1">
      <c r="A28" s="6"/>
      <c r="B28" s="6"/>
      <c r="C28" s="6"/>
      <c r="D28" s="6"/>
    </row>
    <row r="29" spans="1:4" ht="14.25" customHeight="1">
      <c r="A29" s="6"/>
      <c r="B29" s="6"/>
      <c r="C29" s="6"/>
      <c r="D29" s="6"/>
    </row>
    <row r="30" spans="1:4" ht="14.25" customHeight="1">
      <c r="A30" s="6"/>
      <c r="B30" s="6"/>
      <c r="C30" s="6"/>
      <c r="D30" s="6"/>
    </row>
    <row r="31" spans="1:4" ht="14.25" customHeight="1">
      <c r="A31" s="6"/>
      <c r="B31" s="6"/>
      <c r="C31" s="6"/>
      <c r="D31" s="6"/>
    </row>
    <row r="32" spans="1:4" ht="14.25" customHeight="1">
      <c r="A32" s="6"/>
      <c r="B32" s="6"/>
      <c r="C32" s="6"/>
      <c r="D32" s="6"/>
    </row>
    <row r="33" spans="1:4" ht="14.25" customHeight="1">
      <c r="A33" s="6"/>
      <c r="B33" s="6"/>
      <c r="C33" s="6"/>
      <c r="D33" s="6"/>
    </row>
    <row r="34" spans="1:4" ht="14.25" customHeight="1">
      <c r="A34" s="6"/>
      <c r="B34" s="6"/>
      <c r="C34" s="6"/>
      <c r="D34" s="6"/>
    </row>
    <row r="35" spans="1:4" ht="14.25" customHeight="1">
      <c r="A35" s="6"/>
      <c r="B35" s="6"/>
      <c r="C35" s="6"/>
      <c r="D35" s="6"/>
    </row>
    <row r="36" spans="1:4" ht="14.25" customHeight="1">
      <c r="A36" s="6"/>
      <c r="B36" s="6"/>
      <c r="C36" s="6"/>
      <c r="D36" s="6"/>
    </row>
    <row r="37" spans="1:4" ht="14.25" customHeight="1">
      <c r="A37" s="6"/>
      <c r="B37" s="6"/>
      <c r="C37" s="6"/>
      <c r="D37" s="6"/>
    </row>
    <row r="38" spans="1:4" ht="14.25" customHeight="1">
      <c r="A38" s="6"/>
      <c r="B38" s="6"/>
      <c r="C38" s="6"/>
      <c r="D38" s="6"/>
    </row>
    <row r="39" spans="1:4" ht="14.25" customHeight="1">
      <c r="A39" s="6"/>
      <c r="B39" s="6"/>
      <c r="C39" s="6"/>
      <c r="D39" s="6"/>
    </row>
    <row r="40" spans="1:4" ht="14.25" customHeight="1">
      <c r="A40" s="6"/>
      <c r="B40" s="6"/>
      <c r="C40" s="6"/>
      <c r="D40" s="6"/>
    </row>
    <row r="41" spans="1:4" ht="14.25" customHeight="1"/>
    <row r="42" spans="1:4" ht="14.25" customHeight="1"/>
    <row r="43" spans="1:4" ht="14.25" customHeight="1"/>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5">
    <mergeCell ref="A1:B1"/>
    <mergeCell ref="A3:B3"/>
    <mergeCell ref="A10:B10"/>
    <mergeCell ref="A13:B13"/>
    <mergeCell ref="A18:B18"/>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81E2-3E75-3A49-978E-476B5F1A9B48}">
  <dimension ref="A1:O327"/>
  <sheetViews>
    <sheetView topLeftCell="C1" zoomScale="133" workbookViewId="0">
      <selection activeCell="L2" sqref="L2"/>
    </sheetView>
  </sheetViews>
  <sheetFormatPr baseColWidth="10" defaultRowHeight="15"/>
  <cols>
    <col min="1" max="1" width="10.5" customWidth="1"/>
    <col min="2" max="2" width="10.1640625" customWidth="1"/>
    <col min="3" max="3" width="10.6640625" customWidth="1"/>
    <col min="4" max="4" width="16.1640625" customWidth="1"/>
    <col min="5" max="5" width="16.5" bestFit="1" customWidth="1"/>
    <col min="6" max="6" width="12" customWidth="1"/>
    <col min="7" max="7" width="18.1640625" customWidth="1"/>
    <col min="8" max="8" width="16.1640625" customWidth="1"/>
    <col min="9" max="9" width="17" customWidth="1"/>
    <col min="10" max="10" width="14.6640625" customWidth="1"/>
    <col min="12" max="12" width="38.5" customWidth="1"/>
    <col min="14" max="14" width="16.83203125" customWidth="1"/>
  </cols>
  <sheetData>
    <row r="1" spans="1:15" ht="28">
      <c r="A1" s="5" t="s">
        <v>4</v>
      </c>
      <c r="B1" s="5" t="s">
        <v>7</v>
      </c>
      <c r="C1" s="5" t="s">
        <v>9</v>
      </c>
      <c r="D1" s="5" t="s">
        <v>11</v>
      </c>
      <c r="E1" s="5" t="s">
        <v>13</v>
      </c>
      <c r="F1" s="5" t="s">
        <v>15</v>
      </c>
      <c r="G1" s="5" t="s">
        <v>18</v>
      </c>
      <c r="H1" s="5" t="s">
        <v>20</v>
      </c>
      <c r="I1" s="5" t="s">
        <v>21</v>
      </c>
      <c r="J1" s="5" t="s">
        <v>23</v>
      </c>
    </row>
    <row r="2" spans="1:15">
      <c r="A2" s="8">
        <v>4065</v>
      </c>
      <c r="B2" s="8" t="s">
        <v>27</v>
      </c>
      <c r="C2" s="8" t="s">
        <v>28</v>
      </c>
      <c r="D2" s="8" t="s">
        <v>29</v>
      </c>
      <c r="E2" s="8" t="s">
        <v>30</v>
      </c>
      <c r="F2" s="8">
        <v>97</v>
      </c>
      <c r="G2" s="8">
        <v>6.3</v>
      </c>
      <c r="H2" s="8">
        <v>17.21</v>
      </c>
      <c r="I2" s="8">
        <v>7.7</v>
      </c>
      <c r="J2" s="8">
        <v>0</v>
      </c>
    </row>
    <row r="3" spans="1:15">
      <c r="A3" s="8">
        <v>4187</v>
      </c>
      <c r="B3" s="8" t="s">
        <v>34</v>
      </c>
      <c r="C3" s="8" t="s">
        <v>35</v>
      </c>
      <c r="D3" s="8" t="s">
        <v>36</v>
      </c>
      <c r="E3" s="8" t="s">
        <v>38</v>
      </c>
      <c r="F3" s="8">
        <v>223</v>
      </c>
      <c r="G3" s="8">
        <v>2.4</v>
      </c>
      <c r="H3" s="8">
        <v>53.03</v>
      </c>
      <c r="I3" s="8">
        <v>7.1</v>
      </c>
      <c r="J3" s="8">
        <v>16</v>
      </c>
    </row>
    <row r="4" spans="1:15">
      <c r="A4" s="8">
        <v>4290</v>
      </c>
      <c r="B4" s="8" t="s">
        <v>40</v>
      </c>
      <c r="C4" s="8" t="s">
        <v>28</v>
      </c>
      <c r="D4" s="8" t="s">
        <v>41</v>
      </c>
      <c r="E4" s="8" t="s">
        <v>42</v>
      </c>
      <c r="F4" s="8">
        <v>99</v>
      </c>
      <c r="G4" s="8">
        <v>11</v>
      </c>
      <c r="H4" s="8">
        <v>24.57</v>
      </c>
      <c r="I4" s="8">
        <v>8</v>
      </c>
      <c r="J4" s="8">
        <v>7</v>
      </c>
      <c r="L4" s="12" t="s">
        <v>76</v>
      </c>
    </row>
    <row r="5" spans="1:15">
      <c r="A5" s="8">
        <v>4145</v>
      </c>
      <c r="B5" s="8" t="s">
        <v>44</v>
      </c>
      <c r="C5" s="8" t="s">
        <v>45</v>
      </c>
      <c r="D5" s="8" t="s">
        <v>36</v>
      </c>
      <c r="E5" s="8" t="s">
        <v>38</v>
      </c>
      <c r="F5" s="8">
        <v>177</v>
      </c>
      <c r="G5" s="8">
        <v>2.1</v>
      </c>
      <c r="H5" s="8">
        <v>40.17</v>
      </c>
      <c r="I5" s="8">
        <v>8</v>
      </c>
      <c r="J5" s="8">
        <v>11</v>
      </c>
    </row>
    <row r="6" spans="1:15">
      <c r="A6" s="8">
        <v>4190</v>
      </c>
      <c r="B6" s="8" t="s">
        <v>34</v>
      </c>
      <c r="C6" s="8" t="s">
        <v>28</v>
      </c>
      <c r="D6" s="8" t="s">
        <v>47</v>
      </c>
      <c r="E6" s="8" t="s">
        <v>38</v>
      </c>
      <c r="F6" s="8">
        <v>35</v>
      </c>
      <c r="G6" s="8">
        <v>2.7</v>
      </c>
      <c r="H6" s="8">
        <v>18.12</v>
      </c>
      <c r="I6" s="8">
        <v>6.6</v>
      </c>
      <c r="J6" s="8">
        <v>2</v>
      </c>
      <c r="L6" s="10" t="s">
        <v>62</v>
      </c>
      <c r="O6">
        <f>COUNTBLANK(F2:F327)</f>
        <v>0</v>
      </c>
    </row>
    <row r="7" spans="1:15">
      <c r="A7" s="8">
        <v>4281</v>
      </c>
      <c r="B7" s="8" t="s">
        <v>27</v>
      </c>
      <c r="C7" s="8" t="s">
        <v>45</v>
      </c>
      <c r="D7" s="8" t="s">
        <v>29</v>
      </c>
      <c r="E7" s="8" t="s">
        <v>49</v>
      </c>
      <c r="F7" s="8">
        <v>146</v>
      </c>
      <c r="G7" s="8">
        <v>9.1999999999999993</v>
      </c>
      <c r="H7" s="8">
        <v>67.599999999999994</v>
      </c>
      <c r="I7" s="8">
        <v>7.1</v>
      </c>
      <c r="J7" s="8">
        <v>8</v>
      </c>
      <c r="L7" s="10" t="s">
        <v>63</v>
      </c>
      <c r="M7">
        <v>332</v>
      </c>
      <c r="O7">
        <f>COUNTBLANK(G2:G327)</f>
        <v>0</v>
      </c>
    </row>
    <row r="8" spans="1:15" ht="18" customHeight="1">
      <c r="A8" s="8">
        <v>4220</v>
      </c>
      <c r="B8" s="8" t="s">
        <v>40</v>
      </c>
      <c r="C8" s="8" t="s">
        <v>52</v>
      </c>
      <c r="D8" s="8" t="s">
        <v>47</v>
      </c>
      <c r="E8" s="8" t="s">
        <v>53</v>
      </c>
      <c r="F8" s="8">
        <v>197</v>
      </c>
      <c r="G8" s="8">
        <v>3.1</v>
      </c>
      <c r="H8" s="8">
        <v>74.73</v>
      </c>
      <c r="I8" s="8">
        <v>8.3000000000000007</v>
      </c>
      <c r="J8" s="8">
        <v>7</v>
      </c>
      <c r="L8" s="11" t="s">
        <v>64</v>
      </c>
      <c r="M8">
        <v>328</v>
      </c>
      <c r="O8">
        <f>COUNTBLANK(H2:H327)</f>
        <v>0</v>
      </c>
    </row>
    <row r="9" spans="1:15">
      <c r="A9" s="8">
        <v>4278</v>
      </c>
      <c r="B9" s="8" t="s">
        <v>55</v>
      </c>
      <c r="C9" s="8" t="s">
        <v>28</v>
      </c>
      <c r="D9" s="8" t="s">
        <v>29</v>
      </c>
      <c r="E9" s="8" t="s">
        <v>38</v>
      </c>
      <c r="F9" s="13">
        <v>141</v>
      </c>
      <c r="G9" s="8">
        <v>7.3</v>
      </c>
      <c r="H9" s="8">
        <v>30.82</v>
      </c>
      <c r="I9" s="8">
        <v>8.6</v>
      </c>
      <c r="J9" s="8">
        <v>3</v>
      </c>
      <c r="O9">
        <f>COUNTBLANK(I2:I327)</f>
        <v>0</v>
      </c>
    </row>
    <row r="10" spans="1:15">
      <c r="A10" s="8">
        <v>4202</v>
      </c>
      <c r="B10" s="8" t="s">
        <v>34</v>
      </c>
      <c r="C10" s="8" t="s">
        <v>35</v>
      </c>
      <c r="D10" s="8" t="s">
        <v>41</v>
      </c>
      <c r="E10" s="8" t="s">
        <v>30</v>
      </c>
      <c r="F10" s="8">
        <v>137</v>
      </c>
      <c r="G10" s="8">
        <v>14.4</v>
      </c>
      <c r="H10" s="8">
        <v>67.61</v>
      </c>
      <c r="I10" s="8">
        <v>8.4</v>
      </c>
      <c r="J10" s="8">
        <v>8</v>
      </c>
      <c r="O10">
        <f>COUNTBLANK(J2:J327)</f>
        <v>0</v>
      </c>
    </row>
    <row r="11" spans="1:15">
      <c r="A11" s="8">
        <v>4102</v>
      </c>
      <c r="B11" s="8" t="s">
        <v>34</v>
      </c>
      <c r="C11" s="8" t="s">
        <v>35</v>
      </c>
      <c r="D11" s="8" t="s">
        <v>41</v>
      </c>
      <c r="E11" s="8" t="s">
        <v>30</v>
      </c>
      <c r="F11" s="8">
        <v>133</v>
      </c>
      <c r="G11" s="8">
        <v>17</v>
      </c>
      <c r="H11" s="8">
        <v>61.89</v>
      </c>
      <c r="I11" s="8">
        <v>9.9</v>
      </c>
      <c r="J11" s="8">
        <v>9</v>
      </c>
      <c r="L11" s="12" t="s">
        <v>75</v>
      </c>
    </row>
    <row r="12" spans="1:15">
      <c r="A12" s="8">
        <v>4018</v>
      </c>
      <c r="B12" s="8" t="s">
        <v>27</v>
      </c>
      <c r="C12" s="8" t="s">
        <v>35</v>
      </c>
      <c r="D12" s="8" t="s">
        <v>36</v>
      </c>
      <c r="E12" s="8" t="s">
        <v>30</v>
      </c>
      <c r="F12" s="8">
        <v>202</v>
      </c>
      <c r="G12" s="8">
        <v>1.3</v>
      </c>
      <c r="H12" s="8">
        <v>55.17</v>
      </c>
      <c r="I12" s="8">
        <v>8.3000000000000007</v>
      </c>
      <c r="J12" s="8">
        <v>19</v>
      </c>
    </row>
    <row r="13" spans="1:15">
      <c r="A13" s="8">
        <v>4199</v>
      </c>
      <c r="B13" s="8" t="s">
        <v>58</v>
      </c>
      <c r="C13" s="8" t="s">
        <v>35</v>
      </c>
      <c r="D13" s="8" t="s">
        <v>36</v>
      </c>
      <c r="E13" s="8" t="s">
        <v>30</v>
      </c>
      <c r="F13" s="8">
        <v>184</v>
      </c>
      <c r="G13" s="14">
        <v>4.5</v>
      </c>
      <c r="H13" s="8">
        <v>57.11</v>
      </c>
      <c r="I13" s="8">
        <v>8.8000000000000007</v>
      </c>
      <c r="J13" s="8">
        <v>10</v>
      </c>
      <c r="L13" s="12" t="s">
        <v>65</v>
      </c>
    </row>
    <row r="14" spans="1:15">
      <c r="A14" s="8">
        <v>4191</v>
      </c>
      <c r="B14" s="8" t="s">
        <v>55</v>
      </c>
      <c r="C14" s="8" t="s">
        <v>52</v>
      </c>
      <c r="D14" s="8" t="s">
        <v>41</v>
      </c>
      <c r="E14" s="8" t="s">
        <v>38</v>
      </c>
      <c r="F14" s="8">
        <v>167</v>
      </c>
      <c r="G14" s="8">
        <v>16</v>
      </c>
      <c r="H14" s="8">
        <v>81.819999999999993</v>
      </c>
      <c r="I14" s="8">
        <v>8.1999999999999993</v>
      </c>
      <c r="J14" s="8">
        <v>7</v>
      </c>
      <c r="L14" s="10" t="s">
        <v>73</v>
      </c>
    </row>
    <row r="15" spans="1:15">
      <c r="A15" s="8">
        <v>4159</v>
      </c>
      <c r="B15" s="8" t="s">
        <v>34</v>
      </c>
      <c r="C15" s="8" t="s">
        <v>45</v>
      </c>
      <c r="D15" s="8" t="s">
        <v>29</v>
      </c>
      <c r="E15" s="8" t="s">
        <v>53</v>
      </c>
      <c r="F15" s="8">
        <v>141</v>
      </c>
      <c r="G15" s="8">
        <v>5.3</v>
      </c>
      <c r="H15" s="8">
        <v>30.94</v>
      </c>
      <c r="I15" s="8">
        <v>8.3000000000000007</v>
      </c>
      <c r="J15" s="8">
        <v>13</v>
      </c>
    </row>
    <row r="16" spans="1:15">
      <c r="A16" s="8">
        <v>4136</v>
      </c>
      <c r="B16" s="8" t="s">
        <v>58</v>
      </c>
      <c r="C16" s="8" t="s">
        <v>45</v>
      </c>
      <c r="D16" s="8" t="s">
        <v>36</v>
      </c>
      <c r="E16" s="8" t="s">
        <v>30</v>
      </c>
      <c r="F16" s="8">
        <v>123</v>
      </c>
      <c r="G16" s="8">
        <v>1.5</v>
      </c>
      <c r="H16" s="8">
        <v>32.86</v>
      </c>
      <c r="I16" s="8">
        <v>8.1</v>
      </c>
      <c r="J16" s="8">
        <v>10</v>
      </c>
      <c r="L16" s="12" t="s">
        <v>66</v>
      </c>
      <c r="M16" s="12" t="s">
        <v>71</v>
      </c>
      <c r="O16" s="10" t="s">
        <v>72</v>
      </c>
    </row>
    <row r="17" spans="1:14">
      <c r="A17" s="8">
        <v>4178</v>
      </c>
      <c r="B17" s="8" t="s">
        <v>40</v>
      </c>
      <c r="C17" s="8" t="s">
        <v>28</v>
      </c>
      <c r="D17" s="8" t="s">
        <v>41</v>
      </c>
      <c r="E17" s="8" t="s">
        <v>49</v>
      </c>
      <c r="F17" s="8">
        <v>221</v>
      </c>
      <c r="G17" s="8">
        <v>11.5</v>
      </c>
      <c r="H17" s="8">
        <v>66.83</v>
      </c>
      <c r="I17" s="8">
        <v>6.8</v>
      </c>
      <c r="J17" s="8">
        <v>12</v>
      </c>
      <c r="L17" s="10" t="s">
        <v>67</v>
      </c>
      <c r="M17" s="10">
        <v>2</v>
      </c>
    </row>
    <row r="18" spans="1:14">
      <c r="A18" s="8">
        <v>4241</v>
      </c>
      <c r="B18" s="8" t="s">
        <v>40</v>
      </c>
      <c r="C18" s="8" t="s">
        <v>59</v>
      </c>
      <c r="D18" s="8" t="s">
        <v>41</v>
      </c>
      <c r="E18" s="8" t="s">
        <v>49</v>
      </c>
      <c r="F18" s="8">
        <v>234</v>
      </c>
      <c r="G18" s="8">
        <v>12.6</v>
      </c>
      <c r="H18" s="8">
        <v>100.71</v>
      </c>
      <c r="I18" s="8">
        <v>7.3</v>
      </c>
      <c r="J18" s="8">
        <v>17</v>
      </c>
    </row>
    <row r="19" spans="1:14">
      <c r="A19" s="8">
        <v>4304</v>
      </c>
      <c r="B19" s="8" t="s">
        <v>55</v>
      </c>
      <c r="C19" s="8" t="s">
        <v>52</v>
      </c>
      <c r="D19" s="8" t="s">
        <v>36</v>
      </c>
      <c r="E19" s="8" t="s">
        <v>38</v>
      </c>
      <c r="F19" s="8">
        <v>98</v>
      </c>
      <c r="G19" s="8">
        <v>2.4</v>
      </c>
      <c r="H19" s="8">
        <v>54.65</v>
      </c>
      <c r="I19" s="8">
        <v>8.8000000000000007</v>
      </c>
      <c r="J19" s="8">
        <v>11</v>
      </c>
      <c r="L19" s="12" t="s">
        <v>68</v>
      </c>
      <c r="M19" s="12" t="s">
        <v>69</v>
      </c>
      <c r="N19" s="15" t="s">
        <v>70</v>
      </c>
    </row>
    <row r="20" spans="1:14">
      <c r="A20" s="8">
        <v>4122</v>
      </c>
      <c r="B20" s="8" t="s">
        <v>34</v>
      </c>
      <c r="C20" s="8" t="s">
        <v>45</v>
      </c>
      <c r="D20" s="8" t="s">
        <v>47</v>
      </c>
      <c r="E20" s="8" t="s">
        <v>30</v>
      </c>
      <c r="F20" s="8">
        <v>84</v>
      </c>
      <c r="G20" s="8">
        <v>3.9</v>
      </c>
      <c r="H20" s="8">
        <v>41.26</v>
      </c>
      <c r="I20" s="8">
        <v>9.6</v>
      </c>
      <c r="J20" s="8">
        <v>2</v>
      </c>
      <c r="L20" t="s">
        <v>15</v>
      </c>
      <c r="M20">
        <f>MEDIAN(F2:F327)</f>
        <v>141</v>
      </c>
      <c r="N20">
        <v>5</v>
      </c>
    </row>
    <row r="21" spans="1:14">
      <c r="A21" s="8">
        <v>4044</v>
      </c>
      <c r="B21" s="8" t="s">
        <v>55</v>
      </c>
      <c r="C21" s="8" t="s">
        <v>35</v>
      </c>
      <c r="D21" s="8" t="s">
        <v>36</v>
      </c>
      <c r="E21" s="8" t="s">
        <v>53</v>
      </c>
      <c r="F21" s="8">
        <v>122</v>
      </c>
      <c r="G21" s="8">
        <v>4</v>
      </c>
      <c r="H21" s="8">
        <v>34.46</v>
      </c>
      <c r="I21" s="8">
        <v>8.9</v>
      </c>
      <c r="J21" s="8">
        <v>6</v>
      </c>
      <c r="L21" t="s">
        <v>18</v>
      </c>
      <c r="M21">
        <f>MEDIAN(G2:G327)</f>
        <v>4.5</v>
      </c>
      <c r="N21">
        <v>3</v>
      </c>
    </row>
    <row r="22" spans="1:14">
      <c r="A22" s="8">
        <v>4227</v>
      </c>
      <c r="B22" s="8" t="s">
        <v>60</v>
      </c>
      <c r="C22" s="8" t="s">
        <v>45</v>
      </c>
      <c r="D22" s="8" t="s">
        <v>47</v>
      </c>
      <c r="E22" s="8" t="s">
        <v>49</v>
      </c>
      <c r="F22" s="8">
        <v>63</v>
      </c>
      <c r="G22" s="8">
        <v>3.1</v>
      </c>
      <c r="H22" s="8">
        <v>27.4</v>
      </c>
      <c r="I22" s="8">
        <v>7.9</v>
      </c>
      <c r="J22" s="8">
        <v>10</v>
      </c>
      <c r="L22" t="s">
        <v>20</v>
      </c>
      <c r="M22">
        <f>MEDIAN(H2:H327)</f>
        <v>46.37</v>
      </c>
      <c r="N22">
        <v>2</v>
      </c>
    </row>
    <row r="23" spans="1:14">
      <c r="A23" s="8">
        <v>4283</v>
      </c>
      <c r="B23" s="8" t="s">
        <v>60</v>
      </c>
      <c r="C23" s="8" t="s">
        <v>45</v>
      </c>
      <c r="D23" s="8" t="s">
        <v>47</v>
      </c>
      <c r="E23" s="8" t="s">
        <v>30</v>
      </c>
      <c r="F23" s="8">
        <v>152</v>
      </c>
      <c r="G23" s="8">
        <v>1.9</v>
      </c>
      <c r="H23" s="8">
        <v>58.74</v>
      </c>
      <c r="I23" s="8">
        <v>8.6</v>
      </c>
      <c r="J23" s="8">
        <v>11</v>
      </c>
      <c r="L23" t="s">
        <v>21</v>
      </c>
      <c r="M23">
        <f>MEDIAN(I2:I327)</f>
        <v>8.1</v>
      </c>
      <c r="N23">
        <v>1</v>
      </c>
    </row>
    <row r="24" spans="1:14">
      <c r="A24" s="8">
        <v>4061</v>
      </c>
      <c r="B24" s="8" t="s">
        <v>27</v>
      </c>
      <c r="C24" s="8" t="s">
        <v>35</v>
      </c>
      <c r="D24" s="8" t="s">
        <v>36</v>
      </c>
      <c r="E24" s="8" t="s">
        <v>53</v>
      </c>
      <c r="F24" s="8">
        <v>221</v>
      </c>
      <c r="G24" s="8">
        <v>1.8</v>
      </c>
      <c r="H24" s="14">
        <v>46.37</v>
      </c>
      <c r="I24" s="8">
        <v>6.8</v>
      </c>
      <c r="J24" s="8">
        <v>7</v>
      </c>
      <c r="L24" t="s">
        <v>23</v>
      </c>
      <c r="M24">
        <f>MEDIAN(J2:J327)</f>
        <v>8</v>
      </c>
      <c r="N24">
        <v>3</v>
      </c>
    </row>
    <row r="25" spans="1:14">
      <c r="A25" s="8">
        <v>4260</v>
      </c>
      <c r="B25" s="8" t="s">
        <v>27</v>
      </c>
      <c r="C25" s="8" t="s">
        <v>35</v>
      </c>
      <c r="D25" s="8" t="s">
        <v>36</v>
      </c>
      <c r="E25" s="8" t="s">
        <v>49</v>
      </c>
      <c r="F25" s="8">
        <v>93</v>
      </c>
      <c r="G25" s="8">
        <v>3</v>
      </c>
      <c r="H25" s="8">
        <v>36.49</v>
      </c>
      <c r="I25" s="8">
        <v>6.7</v>
      </c>
      <c r="J25" s="8">
        <v>0</v>
      </c>
    </row>
    <row r="26" spans="1:14">
      <c r="A26" s="8">
        <v>4097</v>
      </c>
      <c r="B26" s="8" t="s">
        <v>27</v>
      </c>
      <c r="C26" s="8" t="s">
        <v>35</v>
      </c>
      <c r="D26" s="8" t="s">
        <v>29</v>
      </c>
      <c r="E26" s="8" t="s">
        <v>53</v>
      </c>
      <c r="F26" s="8">
        <v>141</v>
      </c>
      <c r="G26" s="8">
        <v>7.3</v>
      </c>
      <c r="H26" s="8">
        <v>63.78</v>
      </c>
      <c r="I26" s="8">
        <v>8.9</v>
      </c>
      <c r="J26" s="8">
        <v>1</v>
      </c>
    </row>
    <row r="27" spans="1:14">
      <c r="A27" s="8">
        <v>4099</v>
      </c>
      <c r="B27" s="8" t="s">
        <v>27</v>
      </c>
      <c r="C27" s="8" t="s">
        <v>45</v>
      </c>
      <c r="D27" s="8" t="s">
        <v>41</v>
      </c>
      <c r="E27" s="8" t="s">
        <v>30</v>
      </c>
      <c r="F27" s="8">
        <v>119</v>
      </c>
      <c r="G27" s="8">
        <v>13.9</v>
      </c>
      <c r="H27" s="8">
        <v>30.52</v>
      </c>
      <c r="I27" s="8">
        <v>8.4</v>
      </c>
      <c r="J27" s="8">
        <v>7</v>
      </c>
      <c r="L27" s="12" t="s">
        <v>74</v>
      </c>
      <c r="M27" s="10" t="s">
        <v>79</v>
      </c>
    </row>
    <row r="28" spans="1:14">
      <c r="A28" s="8">
        <v>4088</v>
      </c>
      <c r="B28" s="8" t="s">
        <v>34</v>
      </c>
      <c r="C28" s="8" t="s">
        <v>28</v>
      </c>
      <c r="D28" s="8" t="s">
        <v>29</v>
      </c>
      <c r="E28" s="8" t="s">
        <v>53</v>
      </c>
      <c r="F28" s="8">
        <v>165</v>
      </c>
      <c r="G28" s="8">
        <v>7.7</v>
      </c>
      <c r="H28" s="8">
        <v>57.54</v>
      </c>
      <c r="I28" s="8">
        <v>8.6</v>
      </c>
      <c r="J28" s="8">
        <v>8</v>
      </c>
      <c r="L28" s="19" t="s">
        <v>80</v>
      </c>
    </row>
    <row r="29" spans="1:14">
      <c r="A29" s="8">
        <v>4003</v>
      </c>
      <c r="B29" s="8" t="s">
        <v>60</v>
      </c>
      <c r="C29" s="8" t="s">
        <v>45</v>
      </c>
      <c r="D29" s="8" t="s">
        <v>29</v>
      </c>
      <c r="E29" s="8" t="s">
        <v>38</v>
      </c>
      <c r="F29" s="8">
        <v>158</v>
      </c>
      <c r="G29" s="8">
        <v>6.9</v>
      </c>
      <c r="H29" s="8">
        <v>77.27</v>
      </c>
      <c r="I29" s="8">
        <v>8.5</v>
      </c>
      <c r="J29" s="8">
        <v>12</v>
      </c>
      <c r="L29" s="16"/>
      <c r="M29" s="10" t="s">
        <v>77</v>
      </c>
      <c r="N29" s="10"/>
    </row>
    <row r="30" spans="1:14">
      <c r="A30" s="8">
        <v>4163</v>
      </c>
      <c r="B30" s="8" t="s">
        <v>34</v>
      </c>
      <c r="C30" s="8" t="s">
        <v>59</v>
      </c>
      <c r="D30" s="8" t="s">
        <v>47</v>
      </c>
      <c r="E30" s="8" t="s">
        <v>30</v>
      </c>
      <c r="F30" s="8">
        <v>169</v>
      </c>
      <c r="G30" s="8">
        <v>2.5</v>
      </c>
      <c r="H30" s="8">
        <v>82.61</v>
      </c>
      <c r="I30" s="8">
        <v>8.4</v>
      </c>
      <c r="J30" s="8">
        <v>6</v>
      </c>
      <c r="L30" s="17" t="s">
        <v>78</v>
      </c>
      <c r="M30">
        <v>4008</v>
      </c>
    </row>
    <row r="31" spans="1:14">
      <c r="A31" s="8">
        <v>4328</v>
      </c>
      <c r="B31" s="8" t="s">
        <v>60</v>
      </c>
      <c r="C31" s="8" t="s">
        <v>59</v>
      </c>
      <c r="D31" s="8" t="s">
        <v>29</v>
      </c>
      <c r="E31" s="8" t="s">
        <v>53</v>
      </c>
      <c r="F31" s="8">
        <v>106</v>
      </c>
      <c r="G31" s="8">
        <v>6</v>
      </c>
      <c r="H31" s="8">
        <v>52.99</v>
      </c>
      <c r="I31" s="8">
        <v>8.1999999999999993</v>
      </c>
      <c r="J31" s="8">
        <v>7</v>
      </c>
      <c r="M31">
        <v>4053</v>
      </c>
    </row>
    <row r="32" spans="1:14">
      <c r="A32" s="8">
        <v>4306</v>
      </c>
      <c r="B32" s="8" t="s">
        <v>61</v>
      </c>
      <c r="C32" s="8" t="s">
        <v>59</v>
      </c>
      <c r="D32" s="8" t="s">
        <v>47</v>
      </c>
      <c r="E32" s="8" t="s">
        <v>30</v>
      </c>
      <c r="F32" s="8">
        <v>153</v>
      </c>
      <c r="G32" s="8">
        <v>4.2</v>
      </c>
      <c r="H32" s="8">
        <v>78.63</v>
      </c>
      <c r="I32" s="8">
        <v>9</v>
      </c>
      <c r="J32" s="8">
        <v>14</v>
      </c>
    </row>
    <row r="33" spans="1:13">
      <c r="A33" s="8">
        <v>4269</v>
      </c>
      <c r="B33" s="8" t="s">
        <v>34</v>
      </c>
      <c r="C33" s="8" t="s">
        <v>35</v>
      </c>
      <c r="D33" s="8" t="s">
        <v>36</v>
      </c>
      <c r="E33" s="8" t="s">
        <v>38</v>
      </c>
      <c r="F33" s="8">
        <v>174</v>
      </c>
      <c r="G33" s="8">
        <v>4.4000000000000004</v>
      </c>
      <c r="H33" s="8">
        <v>76.25</v>
      </c>
      <c r="I33" s="8">
        <v>9.1</v>
      </c>
      <c r="J33" s="8">
        <v>4</v>
      </c>
      <c r="L33" s="17" t="s">
        <v>81</v>
      </c>
      <c r="M33">
        <v>4255</v>
      </c>
    </row>
    <row r="34" spans="1:13">
      <c r="A34" s="8">
        <v>4008</v>
      </c>
      <c r="B34" s="8" t="s">
        <v>58</v>
      </c>
      <c r="C34" s="8" t="s">
        <v>59</v>
      </c>
      <c r="D34" s="8" t="s">
        <v>47</v>
      </c>
      <c r="E34" s="8" t="s">
        <v>49</v>
      </c>
      <c r="F34" s="8">
        <v>95</v>
      </c>
      <c r="G34" s="18">
        <v>4.5</v>
      </c>
      <c r="H34" s="8">
        <v>17.75</v>
      </c>
      <c r="I34" s="8">
        <v>7.6</v>
      </c>
      <c r="J34" s="8">
        <v>0</v>
      </c>
    </row>
    <row r="35" spans="1:13">
      <c r="A35" s="8">
        <v>4148</v>
      </c>
      <c r="B35" s="8" t="s">
        <v>34</v>
      </c>
      <c r="C35" s="8" t="s">
        <v>35</v>
      </c>
      <c r="D35" s="8" t="s">
        <v>36</v>
      </c>
      <c r="E35" s="8" t="s">
        <v>53</v>
      </c>
      <c r="F35" s="8">
        <v>69</v>
      </c>
      <c r="G35" s="8">
        <v>4.0999999999999996</v>
      </c>
      <c r="H35" s="8">
        <v>14.14</v>
      </c>
      <c r="I35" s="8">
        <v>8.3000000000000007</v>
      </c>
      <c r="J35" s="8">
        <v>0</v>
      </c>
      <c r="L35" s="19" t="s">
        <v>83</v>
      </c>
    </row>
    <row r="36" spans="1:13">
      <c r="A36" s="8">
        <v>4250</v>
      </c>
      <c r="B36" s="8" t="s">
        <v>58</v>
      </c>
      <c r="C36" s="8" t="s">
        <v>45</v>
      </c>
      <c r="D36" s="8" t="s">
        <v>47</v>
      </c>
      <c r="E36" s="8" t="s">
        <v>30</v>
      </c>
      <c r="F36" s="8">
        <v>138</v>
      </c>
      <c r="G36" s="8">
        <v>2.4</v>
      </c>
      <c r="H36" s="8">
        <v>74.540000000000006</v>
      </c>
      <c r="I36" s="8">
        <v>9.1999999999999993</v>
      </c>
      <c r="J36" s="8">
        <v>13</v>
      </c>
      <c r="L36" s="17" t="s">
        <v>82</v>
      </c>
      <c r="M36">
        <v>4046</v>
      </c>
    </row>
    <row r="37" spans="1:13">
      <c r="A37" s="8">
        <v>4028</v>
      </c>
      <c r="B37" s="8" t="s">
        <v>60</v>
      </c>
      <c r="C37" s="8" t="s">
        <v>35</v>
      </c>
      <c r="D37" s="8" t="s">
        <v>41</v>
      </c>
      <c r="E37" s="8" t="s">
        <v>49</v>
      </c>
      <c r="F37" s="8">
        <v>151</v>
      </c>
      <c r="G37" s="8">
        <v>13.8</v>
      </c>
      <c r="H37" s="8">
        <v>50.56</v>
      </c>
      <c r="I37" s="8">
        <v>10</v>
      </c>
      <c r="J37" s="8">
        <v>10</v>
      </c>
      <c r="M37">
        <v>4111</v>
      </c>
    </row>
    <row r="38" spans="1:13">
      <c r="A38" s="8">
        <v>4002</v>
      </c>
      <c r="B38" s="8" t="s">
        <v>34</v>
      </c>
      <c r="C38" s="8" t="s">
        <v>35</v>
      </c>
      <c r="D38" s="8" t="s">
        <v>47</v>
      </c>
      <c r="E38" s="8" t="s">
        <v>42</v>
      </c>
      <c r="F38" s="8">
        <v>154</v>
      </c>
      <c r="G38" s="8">
        <v>1.5</v>
      </c>
      <c r="H38" s="8">
        <v>35</v>
      </c>
      <c r="I38" s="8">
        <v>8.1999999999999993</v>
      </c>
      <c r="J38" s="8">
        <v>14</v>
      </c>
    </row>
    <row r="39" spans="1:13">
      <c r="A39" s="8">
        <v>4081</v>
      </c>
      <c r="B39" s="8" t="s">
        <v>27</v>
      </c>
      <c r="C39" s="8" t="s">
        <v>52</v>
      </c>
      <c r="D39" s="8" t="s">
        <v>29</v>
      </c>
      <c r="E39" s="8" t="s">
        <v>38</v>
      </c>
      <c r="F39" s="8">
        <v>204</v>
      </c>
      <c r="G39" s="8">
        <v>8</v>
      </c>
      <c r="H39" s="8">
        <v>63.88</v>
      </c>
      <c r="I39" s="8">
        <v>7.7</v>
      </c>
      <c r="J39" s="8">
        <v>6</v>
      </c>
      <c r="L39" s="20" t="s">
        <v>84</v>
      </c>
    </row>
    <row r="40" spans="1:13">
      <c r="A40" s="8">
        <v>4095</v>
      </c>
      <c r="B40" s="8" t="s">
        <v>34</v>
      </c>
      <c r="C40" s="8" t="s">
        <v>28</v>
      </c>
      <c r="D40" s="8" t="s">
        <v>47</v>
      </c>
      <c r="E40" s="8" t="s">
        <v>53</v>
      </c>
      <c r="F40" s="8">
        <v>122</v>
      </c>
      <c r="G40" s="8">
        <v>3.3</v>
      </c>
      <c r="H40" s="8">
        <v>41.48</v>
      </c>
      <c r="I40" s="8">
        <v>7.2</v>
      </c>
      <c r="J40" s="8">
        <v>5</v>
      </c>
      <c r="L40" s="17" t="s">
        <v>85</v>
      </c>
      <c r="M40">
        <v>4233</v>
      </c>
    </row>
    <row r="41" spans="1:13">
      <c r="A41" s="8">
        <v>4303</v>
      </c>
      <c r="B41" s="8" t="s">
        <v>27</v>
      </c>
      <c r="C41" s="8" t="s">
        <v>28</v>
      </c>
      <c r="D41" s="8" t="s">
        <v>36</v>
      </c>
      <c r="E41" s="8" t="s">
        <v>49</v>
      </c>
      <c r="F41" s="8">
        <v>191</v>
      </c>
      <c r="G41" s="8">
        <v>2.2000000000000002</v>
      </c>
      <c r="H41" s="8">
        <v>105.07</v>
      </c>
      <c r="I41" s="8">
        <v>6.9</v>
      </c>
      <c r="J41" s="8">
        <v>17</v>
      </c>
    </row>
    <row r="42" spans="1:13">
      <c r="A42" s="8">
        <v>4287</v>
      </c>
      <c r="B42" s="8" t="s">
        <v>55</v>
      </c>
      <c r="C42" s="8" t="s">
        <v>45</v>
      </c>
      <c r="D42" s="8" t="s">
        <v>47</v>
      </c>
      <c r="E42" s="8" t="s">
        <v>30</v>
      </c>
      <c r="F42" s="8">
        <v>123</v>
      </c>
      <c r="G42" s="8">
        <v>5.2</v>
      </c>
      <c r="H42" s="8">
        <v>43.04</v>
      </c>
      <c r="I42" s="8">
        <v>7.3</v>
      </c>
      <c r="J42" s="8">
        <v>2</v>
      </c>
      <c r="L42" s="12" t="s">
        <v>86</v>
      </c>
    </row>
    <row r="43" spans="1:13">
      <c r="A43" s="8">
        <v>4092</v>
      </c>
      <c r="B43" s="8" t="s">
        <v>44</v>
      </c>
      <c r="C43" s="8" t="s">
        <v>45</v>
      </c>
      <c r="D43" s="8" t="s">
        <v>41</v>
      </c>
      <c r="E43" s="8" t="s">
        <v>38</v>
      </c>
      <c r="F43" s="8">
        <v>169</v>
      </c>
      <c r="G43" s="8">
        <v>6.4</v>
      </c>
      <c r="H43" s="8">
        <v>62.92</v>
      </c>
      <c r="I43" s="8">
        <v>7.9</v>
      </c>
      <c r="J43" s="8">
        <v>17</v>
      </c>
      <c r="L43" s="10" t="s">
        <v>87</v>
      </c>
    </row>
    <row r="44" spans="1:13">
      <c r="A44" s="8">
        <v>4056</v>
      </c>
      <c r="B44" s="8" t="s">
        <v>34</v>
      </c>
      <c r="C44" s="8" t="s">
        <v>45</v>
      </c>
      <c r="D44" s="8" t="s">
        <v>47</v>
      </c>
      <c r="E44" s="8" t="s">
        <v>30</v>
      </c>
      <c r="F44" s="8">
        <v>70</v>
      </c>
      <c r="G44" s="8">
        <v>4</v>
      </c>
      <c r="H44" s="8">
        <v>16.670000000000002</v>
      </c>
      <c r="I44" s="8">
        <v>6.9</v>
      </c>
      <c r="J44" s="8">
        <v>0</v>
      </c>
    </row>
    <row r="45" spans="1:13">
      <c r="A45" s="8">
        <v>4037</v>
      </c>
      <c r="B45" s="8" t="s">
        <v>55</v>
      </c>
      <c r="C45" s="8" t="s">
        <v>28</v>
      </c>
      <c r="D45" s="8" t="s">
        <v>47</v>
      </c>
      <c r="E45" s="8" t="s">
        <v>49</v>
      </c>
      <c r="F45" s="8">
        <v>218</v>
      </c>
      <c r="G45" s="8">
        <v>3.2</v>
      </c>
      <c r="H45" s="8">
        <v>111.12</v>
      </c>
      <c r="I45" s="8">
        <v>9</v>
      </c>
      <c r="J45" s="8">
        <v>20</v>
      </c>
    </row>
    <row r="46" spans="1:13">
      <c r="A46" s="8">
        <v>4100</v>
      </c>
      <c r="B46" s="8" t="s">
        <v>44</v>
      </c>
      <c r="C46" s="8" t="s">
        <v>52</v>
      </c>
      <c r="D46" s="8" t="s">
        <v>41</v>
      </c>
      <c r="E46" s="8" t="s">
        <v>38</v>
      </c>
      <c r="F46" s="8">
        <v>33</v>
      </c>
      <c r="G46" s="8">
        <v>16.5</v>
      </c>
      <c r="H46" s="8">
        <v>4.78</v>
      </c>
      <c r="I46" s="8">
        <v>8.9</v>
      </c>
      <c r="J46" s="8">
        <v>0</v>
      </c>
    </row>
    <row r="47" spans="1:13">
      <c r="A47" s="8">
        <v>4246</v>
      </c>
      <c r="B47" s="8" t="s">
        <v>61</v>
      </c>
      <c r="C47" s="8" t="s">
        <v>35</v>
      </c>
      <c r="D47" s="8" t="s">
        <v>29</v>
      </c>
      <c r="E47" s="8" t="s">
        <v>38</v>
      </c>
      <c r="F47" s="8">
        <v>99</v>
      </c>
      <c r="G47" s="8">
        <v>3</v>
      </c>
      <c r="H47" s="8">
        <v>49.86</v>
      </c>
      <c r="I47" s="8">
        <v>7.3</v>
      </c>
      <c r="J47" s="8">
        <v>4</v>
      </c>
    </row>
    <row r="48" spans="1:13">
      <c r="A48" s="8">
        <v>4049</v>
      </c>
      <c r="B48" s="8" t="s">
        <v>44</v>
      </c>
      <c r="C48" s="8" t="s">
        <v>59</v>
      </c>
      <c r="D48" s="8" t="s">
        <v>47</v>
      </c>
      <c r="E48" s="8" t="s">
        <v>38</v>
      </c>
      <c r="F48" s="8">
        <v>178</v>
      </c>
      <c r="G48" s="8">
        <v>5.0999999999999996</v>
      </c>
      <c r="H48" s="8">
        <v>37.450000000000003</v>
      </c>
      <c r="I48" s="8">
        <v>6.9</v>
      </c>
      <c r="J48" s="8">
        <v>6</v>
      </c>
    </row>
    <row r="49" spans="1:10">
      <c r="A49" s="8">
        <v>4196</v>
      </c>
      <c r="B49" s="8" t="s">
        <v>44</v>
      </c>
      <c r="C49" s="8" t="s">
        <v>52</v>
      </c>
      <c r="D49" s="8" t="s">
        <v>41</v>
      </c>
      <c r="E49" s="8" t="s">
        <v>30</v>
      </c>
      <c r="F49" s="8">
        <v>192</v>
      </c>
      <c r="G49" s="8">
        <v>14.7</v>
      </c>
      <c r="H49" s="8">
        <v>41.44</v>
      </c>
      <c r="I49" s="8">
        <v>8.6</v>
      </c>
      <c r="J49" s="8">
        <v>16</v>
      </c>
    </row>
    <row r="50" spans="1:10">
      <c r="A50" s="8">
        <v>4007</v>
      </c>
      <c r="B50" s="8" t="s">
        <v>58</v>
      </c>
      <c r="C50" s="8" t="s">
        <v>28</v>
      </c>
      <c r="D50" s="8" t="s">
        <v>47</v>
      </c>
      <c r="E50" s="8" t="s">
        <v>38</v>
      </c>
      <c r="F50" s="8">
        <v>147</v>
      </c>
      <c r="G50" s="8">
        <v>2.1</v>
      </c>
      <c r="H50" s="8">
        <v>70.52</v>
      </c>
      <c r="I50" s="8">
        <v>9.4</v>
      </c>
      <c r="J50" s="8">
        <v>4</v>
      </c>
    </row>
    <row r="51" spans="1:10">
      <c r="A51" s="8">
        <v>4218</v>
      </c>
      <c r="B51" s="8" t="s">
        <v>58</v>
      </c>
      <c r="C51" s="8" t="s">
        <v>52</v>
      </c>
      <c r="D51" s="8" t="s">
        <v>41</v>
      </c>
      <c r="E51" s="8" t="s">
        <v>53</v>
      </c>
      <c r="F51" s="8">
        <v>206</v>
      </c>
      <c r="G51" s="8">
        <v>12.3</v>
      </c>
      <c r="H51" s="8">
        <v>93.65</v>
      </c>
      <c r="I51" s="8">
        <v>7</v>
      </c>
      <c r="J51" s="8">
        <v>9</v>
      </c>
    </row>
    <row r="52" spans="1:10">
      <c r="A52" s="8">
        <v>4063</v>
      </c>
      <c r="B52" s="8" t="s">
        <v>55</v>
      </c>
      <c r="C52" s="8" t="s">
        <v>35</v>
      </c>
      <c r="D52" s="8" t="s">
        <v>29</v>
      </c>
      <c r="E52" s="8" t="s">
        <v>53</v>
      </c>
      <c r="F52" s="8">
        <v>111</v>
      </c>
      <c r="G52" s="8">
        <v>9.1</v>
      </c>
      <c r="H52" s="8">
        <v>53.3</v>
      </c>
      <c r="I52" s="8">
        <v>7.9</v>
      </c>
      <c r="J52" s="8">
        <v>4</v>
      </c>
    </row>
    <row r="53" spans="1:10">
      <c r="A53" s="8">
        <v>4110</v>
      </c>
      <c r="B53" s="8" t="s">
        <v>61</v>
      </c>
      <c r="C53" s="8" t="s">
        <v>52</v>
      </c>
      <c r="D53" s="8" t="s">
        <v>29</v>
      </c>
      <c r="E53" s="8" t="s">
        <v>30</v>
      </c>
      <c r="F53" s="8">
        <v>188</v>
      </c>
      <c r="G53" s="8">
        <v>7.6</v>
      </c>
      <c r="H53" s="8">
        <v>82.19</v>
      </c>
      <c r="I53" s="8">
        <v>9.9</v>
      </c>
      <c r="J53" s="8">
        <v>13</v>
      </c>
    </row>
    <row r="54" spans="1:10">
      <c r="A54" s="8">
        <v>4130</v>
      </c>
      <c r="B54" s="8" t="s">
        <v>60</v>
      </c>
      <c r="C54" s="8" t="s">
        <v>28</v>
      </c>
      <c r="D54" s="8" t="s">
        <v>47</v>
      </c>
      <c r="E54" s="8" t="s">
        <v>53</v>
      </c>
      <c r="F54" s="8">
        <v>147</v>
      </c>
      <c r="G54" s="8">
        <v>3.3</v>
      </c>
      <c r="H54" s="8">
        <v>49.36</v>
      </c>
      <c r="I54" s="8">
        <v>9.1999999999999993</v>
      </c>
      <c r="J54" s="8">
        <v>10</v>
      </c>
    </row>
    <row r="55" spans="1:10">
      <c r="A55" s="8">
        <v>4142</v>
      </c>
      <c r="B55" s="8" t="s">
        <v>40</v>
      </c>
      <c r="C55" s="8" t="s">
        <v>35</v>
      </c>
      <c r="D55" s="8" t="s">
        <v>41</v>
      </c>
      <c r="E55" s="8" t="s">
        <v>30</v>
      </c>
      <c r="F55" s="8">
        <v>63</v>
      </c>
      <c r="G55" s="8">
        <v>9.1999999999999993</v>
      </c>
      <c r="H55" s="8">
        <v>13.07</v>
      </c>
      <c r="I55" s="8">
        <v>7.7</v>
      </c>
      <c r="J55" s="8">
        <v>2</v>
      </c>
    </row>
    <row r="56" spans="1:10">
      <c r="A56" s="8">
        <v>4249</v>
      </c>
      <c r="B56" s="8" t="s">
        <v>40</v>
      </c>
      <c r="C56" s="8" t="s">
        <v>45</v>
      </c>
      <c r="D56" s="8" t="s">
        <v>41</v>
      </c>
      <c r="E56" s="8" t="s">
        <v>49</v>
      </c>
      <c r="F56" s="8">
        <v>85</v>
      </c>
      <c r="G56" s="8">
        <v>11.4</v>
      </c>
      <c r="H56" s="8">
        <v>40.770000000000003</v>
      </c>
      <c r="I56" s="8">
        <v>8.3000000000000007</v>
      </c>
      <c r="J56" s="8">
        <v>0</v>
      </c>
    </row>
    <row r="57" spans="1:10">
      <c r="A57" s="8">
        <v>4252</v>
      </c>
      <c r="B57" s="8" t="s">
        <v>40</v>
      </c>
      <c r="C57" s="8" t="s">
        <v>59</v>
      </c>
      <c r="D57" s="8" t="s">
        <v>41</v>
      </c>
      <c r="E57" s="8" t="s">
        <v>49</v>
      </c>
      <c r="F57" s="8">
        <v>160</v>
      </c>
      <c r="G57" s="8">
        <v>16</v>
      </c>
      <c r="H57" s="8">
        <v>60.91</v>
      </c>
      <c r="I57" s="8">
        <v>6.4</v>
      </c>
      <c r="J57" s="8">
        <v>10</v>
      </c>
    </row>
    <row r="58" spans="1:10">
      <c r="A58" s="8">
        <v>4194</v>
      </c>
      <c r="B58" s="8" t="s">
        <v>44</v>
      </c>
      <c r="C58" s="8" t="s">
        <v>35</v>
      </c>
      <c r="D58" s="8" t="s">
        <v>47</v>
      </c>
      <c r="E58" s="8" t="s">
        <v>53</v>
      </c>
      <c r="F58" s="8">
        <v>159</v>
      </c>
      <c r="G58" s="8">
        <v>3.2</v>
      </c>
      <c r="H58" s="8">
        <v>37.82</v>
      </c>
      <c r="I58" s="8">
        <v>7.9</v>
      </c>
      <c r="J58" s="8">
        <v>6</v>
      </c>
    </row>
    <row r="59" spans="1:10">
      <c r="A59" s="8">
        <v>4138</v>
      </c>
      <c r="B59" s="8" t="s">
        <v>27</v>
      </c>
      <c r="C59" s="8" t="s">
        <v>35</v>
      </c>
      <c r="D59" s="8" t="s">
        <v>41</v>
      </c>
      <c r="E59" s="8" t="s">
        <v>49</v>
      </c>
      <c r="F59" s="8">
        <v>193</v>
      </c>
      <c r="G59" s="8">
        <v>15</v>
      </c>
      <c r="H59" s="8">
        <v>101.61</v>
      </c>
      <c r="I59" s="8">
        <v>8.6</v>
      </c>
      <c r="J59" s="8">
        <v>11</v>
      </c>
    </row>
    <row r="60" spans="1:10">
      <c r="A60" s="8">
        <v>4325</v>
      </c>
      <c r="B60" s="8" t="s">
        <v>61</v>
      </c>
      <c r="C60" s="8" t="s">
        <v>45</v>
      </c>
      <c r="D60" s="8" t="s">
        <v>36</v>
      </c>
      <c r="E60" s="8" t="s">
        <v>38</v>
      </c>
      <c r="F60" s="8">
        <v>128</v>
      </c>
      <c r="G60" s="8">
        <v>2</v>
      </c>
      <c r="H60" s="8">
        <v>21.6</v>
      </c>
      <c r="I60" s="8">
        <v>5.4</v>
      </c>
      <c r="J60" s="8">
        <v>2</v>
      </c>
    </row>
    <row r="61" spans="1:10">
      <c r="A61" s="8">
        <v>4106</v>
      </c>
      <c r="B61" s="8" t="s">
        <v>55</v>
      </c>
      <c r="C61" s="8" t="s">
        <v>59</v>
      </c>
      <c r="D61" s="8" t="s">
        <v>36</v>
      </c>
      <c r="E61" s="8" t="s">
        <v>42</v>
      </c>
      <c r="F61" s="8">
        <v>138</v>
      </c>
      <c r="G61" s="8">
        <v>4.5</v>
      </c>
      <c r="H61" s="8">
        <v>74.12</v>
      </c>
      <c r="I61" s="8">
        <v>7</v>
      </c>
      <c r="J61" s="8">
        <v>2</v>
      </c>
    </row>
    <row r="62" spans="1:10">
      <c r="A62" s="8">
        <v>4152</v>
      </c>
      <c r="B62" s="8" t="s">
        <v>34</v>
      </c>
      <c r="C62" s="8" t="s">
        <v>52</v>
      </c>
      <c r="D62" s="8" t="s">
        <v>41</v>
      </c>
      <c r="E62" s="8" t="s">
        <v>49</v>
      </c>
      <c r="F62" s="8">
        <v>202</v>
      </c>
      <c r="G62" s="8">
        <v>12.8</v>
      </c>
      <c r="H62" s="8">
        <v>95.84</v>
      </c>
      <c r="I62" s="8">
        <v>9.5</v>
      </c>
      <c r="J62" s="8">
        <v>8</v>
      </c>
    </row>
    <row r="63" spans="1:10">
      <c r="A63" s="8">
        <v>4094</v>
      </c>
      <c r="B63" s="8" t="s">
        <v>60</v>
      </c>
      <c r="C63" s="8" t="s">
        <v>52</v>
      </c>
      <c r="D63" s="8" t="s">
        <v>29</v>
      </c>
      <c r="E63" s="8" t="s">
        <v>49</v>
      </c>
      <c r="F63" s="8">
        <v>7</v>
      </c>
      <c r="G63" s="8">
        <v>8</v>
      </c>
      <c r="H63" s="8">
        <v>5.59</v>
      </c>
      <c r="I63" s="8">
        <v>8.4</v>
      </c>
      <c r="J63" s="8">
        <v>0</v>
      </c>
    </row>
    <row r="64" spans="1:10">
      <c r="A64" s="8">
        <v>4033</v>
      </c>
      <c r="B64" s="8" t="s">
        <v>44</v>
      </c>
      <c r="C64" s="8" t="s">
        <v>35</v>
      </c>
      <c r="D64" s="8" t="s">
        <v>29</v>
      </c>
      <c r="E64" s="8" t="s">
        <v>42</v>
      </c>
      <c r="F64" s="8">
        <v>88</v>
      </c>
      <c r="G64" s="8">
        <v>8.8000000000000007</v>
      </c>
      <c r="H64" s="8">
        <v>29.75</v>
      </c>
      <c r="I64" s="8">
        <v>8.5</v>
      </c>
      <c r="J64" s="8">
        <v>2</v>
      </c>
    </row>
    <row r="65" spans="1:10">
      <c r="A65" s="8">
        <v>4265</v>
      </c>
      <c r="B65" s="8" t="s">
        <v>27</v>
      </c>
      <c r="C65" s="8" t="s">
        <v>45</v>
      </c>
      <c r="D65" s="8" t="s">
        <v>29</v>
      </c>
      <c r="E65" s="8" t="s">
        <v>53</v>
      </c>
      <c r="F65" s="8">
        <v>269</v>
      </c>
      <c r="G65" s="8">
        <v>5.8</v>
      </c>
      <c r="H65" s="8">
        <v>146.08000000000001</v>
      </c>
      <c r="I65" s="8">
        <v>7.6</v>
      </c>
      <c r="J65" s="8">
        <v>10</v>
      </c>
    </row>
    <row r="66" spans="1:10">
      <c r="A66" s="8">
        <v>4087</v>
      </c>
      <c r="B66" s="8" t="s">
        <v>40</v>
      </c>
      <c r="C66" s="8" t="s">
        <v>59</v>
      </c>
      <c r="D66" s="8" t="s">
        <v>47</v>
      </c>
      <c r="E66" s="8" t="s">
        <v>53</v>
      </c>
      <c r="F66" s="8">
        <v>89</v>
      </c>
      <c r="G66" s="8">
        <v>3.6</v>
      </c>
      <c r="H66" s="8">
        <v>59.29</v>
      </c>
      <c r="I66" s="8">
        <v>6</v>
      </c>
      <c r="J66" s="8">
        <v>5</v>
      </c>
    </row>
    <row r="67" spans="1:10">
      <c r="A67" s="8">
        <v>4298</v>
      </c>
      <c r="B67" s="8" t="s">
        <v>27</v>
      </c>
      <c r="C67" s="8" t="s">
        <v>35</v>
      </c>
      <c r="D67" s="8" t="s">
        <v>41</v>
      </c>
      <c r="E67" s="8" t="s">
        <v>53</v>
      </c>
      <c r="F67" s="8">
        <v>153</v>
      </c>
      <c r="G67" s="8">
        <v>12.1</v>
      </c>
      <c r="H67" s="8">
        <v>22.49</v>
      </c>
      <c r="I67" s="8">
        <v>8.1999999999999993</v>
      </c>
      <c r="J67" s="8">
        <v>10</v>
      </c>
    </row>
    <row r="68" spans="1:10">
      <c r="A68" s="8">
        <v>4117</v>
      </c>
      <c r="B68" s="8" t="s">
        <v>27</v>
      </c>
      <c r="C68" s="8" t="s">
        <v>45</v>
      </c>
      <c r="D68" s="8" t="s">
        <v>29</v>
      </c>
      <c r="E68" s="8" t="s">
        <v>42</v>
      </c>
      <c r="F68" s="8">
        <v>230</v>
      </c>
      <c r="G68" s="8">
        <v>5.0999999999999996</v>
      </c>
      <c r="H68" s="8">
        <v>58.59</v>
      </c>
      <c r="I68" s="8">
        <v>7.8</v>
      </c>
      <c r="J68" s="8">
        <v>9</v>
      </c>
    </row>
    <row r="69" spans="1:10">
      <c r="A69" s="8">
        <v>4042</v>
      </c>
      <c r="B69" s="8" t="s">
        <v>44</v>
      </c>
      <c r="C69" s="8" t="s">
        <v>35</v>
      </c>
      <c r="D69" s="8" t="s">
        <v>29</v>
      </c>
      <c r="E69" s="8" t="s">
        <v>49</v>
      </c>
      <c r="F69" s="8">
        <v>182</v>
      </c>
      <c r="G69" s="8">
        <v>12.7</v>
      </c>
      <c r="H69" s="8">
        <v>27.26</v>
      </c>
      <c r="I69" s="8">
        <v>6.5</v>
      </c>
      <c r="J69" s="8">
        <v>5</v>
      </c>
    </row>
    <row r="70" spans="1:10">
      <c r="A70" s="8">
        <v>4016</v>
      </c>
      <c r="B70" s="8" t="s">
        <v>58</v>
      </c>
      <c r="C70" s="8" t="s">
        <v>28</v>
      </c>
      <c r="D70" s="8" t="s">
        <v>36</v>
      </c>
      <c r="E70" s="8" t="s">
        <v>38</v>
      </c>
      <c r="F70" s="8">
        <v>152</v>
      </c>
      <c r="G70" s="8">
        <v>4</v>
      </c>
      <c r="H70" s="8">
        <v>74.36</v>
      </c>
      <c r="I70" s="8">
        <v>6.5</v>
      </c>
      <c r="J70" s="8">
        <v>9</v>
      </c>
    </row>
    <row r="71" spans="1:10">
      <c r="A71" s="8">
        <v>4069</v>
      </c>
      <c r="B71" s="8" t="s">
        <v>58</v>
      </c>
      <c r="C71" s="8" t="s">
        <v>59</v>
      </c>
      <c r="D71" s="8" t="s">
        <v>47</v>
      </c>
      <c r="E71" s="8" t="s">
        <v>53</v>
      </c>
      <c r="F71" s="8">
        <v>264</v>
      </c>
      <c r="G71" s="8">
        <v>2.5</v>
      </c>
      <c r="H71" s="8">
        <v>89.99</v>
      </c>
      <c r="I71" s="8">
        <v>8.1999999999999993</v>
      </c>
      <c r="J71" s="8">
        <v>16</v>
      </c>
    </row>
    <row r="72" spans="1:10">
      <c r="A72" s="8">
        <v>4204</v>
      </c>
      <c r="B72" s="8" t="s">
        <v>61</v>
      </c>
      <c r="C72" s="8" t="s">
        <v>59</v>
      </c>
      <c r="D72" s="8" t="s">
        <v>29</v>
      </c>
      <c r="E72" s="8" t="s">
        <v>53</v>
      </c>
      <c r="F72" s="8">
        <v>160</v>
      </c>
      <c r="G72" s="8">
        <v>2.6</v>
      </c>
      <c r="H72" s="8">
        <v>26.69</v>
      </c>
      <c r="I72" s="8">
        <v>9.5</v>
      </c>
      <c r="J72" s="8">
        <v>15</v>
      </c>
    </row>
    <row r="73" spans="1:10">
      <c r="A73" s="8">
        <v>4256</v>
      </c>
      <c r="B73" s="8" t="s">
        <v>34</v>
      </c>
      <c r="C73" s="8" t="s">
        <v>35</v>
      </c>
      <c r="D73" s="8" t="s">
        <v>36</v>
      </c>
      <c r="E73" s="8" t="s">
        <v>53</v>
      </c>
      <c r="F73" s="8">
        <v>77</v>
      </c>
      <c r="G73" s="8">
        <v>2.1</v>
      </c>
      <c r="H73" s="8">
        <v>17.66</v>
      </c>
      <c r="I73" s="8">
        <v>8.1</v>
      </c>
      <c r="J73" s="8">
        <v>4</v>
      </c>
    </row>
    <row r="74" spans="1:10">
      <c r="A74" s="8">
        <v>4079</v>
      </c>
      <c r="B74" s="8" t="s">
        <v>27</v>
      </c>
      <c r="C74" s="8" t="s">
        <v>35</v>
      </c>
      <c r="D74" s="8" t="s">
        <v>41</v>
      </c>
      <c r="E74" s="8" t="s">
        <v>42</v>
      </c>
      <c r="F74" s="8">
        <v>139</v>
      </c>
      <c r="G74" s="8">
        <v>11</v>
      </c>
      <c r="H74" s="8">
        <v>54.29</v>
      </c>
      <c r="I74" s="8">
        <v>8.6999999999999993</v>
      </c>
      <c r="J74" s="8">
        <v>7</v>
      </c>
    </row>
    <row r="75" spans="1:10">
      <c r="A75" s="8">
        <v>4263</v>
      </c>
      <c r="B75" s="8" t="s">
        <v>60</v>
      </c>
      <c r="C75" s="8" t="s">
        <v>45</v>
      </c>
      <c r="D75" s="8" t="s">
        <v>29</v>
      </c>
      <c r="E75" s="8" t="s">
        <v>30</v>
      </c>
      <c r="F75" s="8">
        <v>121</v>
      </c>
      <c r="G75" s="8">
        <v>11.3</v>
      </c>
      <c r="H75" s="8">
        <v>39.06</v>
      </c>
      <c r="I75" s="8">
        <v>8.4</v>
      </c>
      <c r="J75" s="8">
        <v>1</v>
      </c>
    </row>
    <row r="76" spans="1:10">
      <c r="A76" s="8">
        <v>4031</v>
      </c>
      <c r="B76" s="8" t="s">
        <v>27</v>
      </c>
      <c r="C76" s="8" t="s">
        <v>59</v>
      </c>
      <c r="D76" s="8" t="s">
        <v>41</v>
      </c>
      <c r="E76" s="8" t="s">
        <v>53</v>
      </c>
      <c r="F76" s="8">
        <v>220</v>
      </c>
      <c r="G76" s="8">
        <v>14.6</v>
      </c>
      <c r="H76" s="8">
        <v>104.3</v>
      </c>
      <c r="I76" s="8">
        <v>7.7</v>
      </c>
      <c r="J76" s="8">
        <v>11</v>
      </c>
    </row>
    <row r="77" spans="1:10">
      <c r="A77" s="8">
        <v>4014</v>
      </c>
      <c r="B77" s="8" t="s">
        <v>27</v>
      </c>
      <c r="C77" s="8" t="s">
        <v>45</v>
      </c>
      <c r="D77" s="8" t="s">
        <v>47</v>
      </c>
      <c r="E77" s="8" t="s">
        <v>38</v>
      </c>
      <c r="F77" s="8">
        <v>174</v>
      </c>
      <c r="G77" s="8">
        <v>4.9000000000000004</v>
      </c>
      <c r="H77" s="8">
        <v>33.17</v>
      </c>
      <c r="I77" s="8">
        <v>7.9</v>
      </c>
      <c r="J77" s="8">
        <v>11</v>
      </c>
    </row>
    <row r="78" spans="1:10">
      <c r="A78" s="8">
        <v>4180</v>
      </c>
      <c r="B78" s="8" t="s">
        <v>44</v>
      </c>
      <c r="C78" s="8" t="s">
        <v>59</v>
      </c>
      <c r="D78" s="8" t="s">
        <v>41</v>
      </c>
      <c r="E78" s="8" t="s">
        <v>49</v>
      </c>
      <c r="F78" s="8">
        <v>119</v>
      </c>
      <c r="G78" s="8">
        <v>8.6</v>
      </c>
      <c r="H78" s="8">
        <v>41.9</v>
      </c>
      <c r="I78" s="8">
        <v>7.4</v>
      </c>
      <c r="J78" s="8">
        <v>6</v>
      </c>
    </row>
    <row r="79" spans="1:10">
      <c r="A79" s="8">
        <v>4034</v>
      </c>
      <c r="B79" s="8" t="s">
        <v>60</v>
      </c>
      <c r="C79" s="8" t="s">
        <v>28</v>
      </c>
      <c r="D79" s="8" t="s">
        <v>36</v>
      </c>
      <c r="E79" s="8" t="s">
        <v>42</v>
      </c>
      <c r="F79" s="8">
        <v>196</v>
      </c>
      <c r="G79" s="8">
        <v>2.1</v>
      </c>
      <c r="H79" s="8">
        <v>30.23</v>
      </c>
      <c r="I79" s="8">
        <v>9.8000000000000007</v>
      </c>
      <c r="J79" s="8">
        <v>11</v>
      </c>
    </row>
    <row r="80" spans="1:10">
      <c r="A80" s="8">
        <v>4020</v>
      </c>
      <c r="B80" s="8" t="s">
        <v>27</v>
      </c>
      <c r="C80" s="8" t="s">
        <v>28</v>
      </c>
      <c r="D80" s="8" t="s">
        <v>36</v>
      </c>
      <c r="E80" s="8" t="s">
        <v>49</v>
      </c>
      <c r="F80" s="8">
        <v>146</v>
      </c>
      <c r="G80" s="8">
        <v>3.4</v>
      </c>
      <c r="H80" s="8">
        <v>50.48</v>
      </c>
      <c r="I80" s="8">
        <v>7.4</v>
      </c>
      <c r="J80" s="8">
        <v>12</v>
      </c>
    </row>
    <row r="81" spans="1:10">
      <c r="A81" s="8">
        <v>4118</v>
      </c>
      <c r="B81" s="8" t="s">
        <v>44</v>
      </c>
      <c r="C81" s="8" t="s">
        <v>35</v>
      </c>
      <c r="D81" s="8" t="s">
        <v>47</v>
      </c>
      <c r="E81" s="8" t="s">
        <v>38</v>
      </c>
      <c r="F81" s="8">
        <v>127</v>
      </c>
      <c r="G81" s="8">
        <v>5.9</v>
      </c>
      <c r="H81" s="8">
        <v>67.34</v>
      </c>
      <c r="I81" s="8">
        <v>8.4</v>
      </c>
      <c r="J81" s="8">
        <v>9</v>
      </c>
    </row>
    <row r="82" spans="1:10">
      <c r="A82" s="8">
        <v>4127</v>
      </c>
      <c r="B82" s="8" t="s">
        <v>34</v>
      </c>
      <c r="C82" s="8" t="s">
        <v>28</v>
      </c>
      <c r="D82" s="8" t="s">
        <v>47</v>
      </c>
      <c r="E82" s="8" t="s">
        <v>30</v>
      </c>
      <c r="F82" s="8">
        <v>148</v>
      </c>
      <c r="G82" s="8">
        <v>4.7</v>
      </c>
      <c r="H82" s="8">
        <v>29.5</v>
      </c>
      <c r="I82" s="8">
        <v>6.5</v>
      </c>
      <c r="J82" s="8">
        <v>3</v>
      </c>
    </row>
    <row r="83" spans="1:10">
      <c r="A83" s="8">
        <v>4230</v>
      </c>
      <c r="B83" s="8" t="s">
        <v>58</v>
      </c>
      <c r="C83" s="8" t="s">
        <v>28</v>
      </c>
      <c r="D83" s="8" t="s">
        <v>29</v>
      </c>
      <c r="E83" s="8" t="s">
        <v>38</v>
      </c>
      <c r="F83" s="8">
        <v>144</v>
      </c>
      <c r="G83" s="8">
        <v>4.3</v>
      </c>
      <c r="H83" s="8">
        <v>48.79</v>
      </c>
      <c r="I83" s="8">
        <v>8.5</v>
      </c>
      <c r="J83" s="8">
        <v>10</v>
      </c>
    </row>
    <row r="84" spans="1:10">
      <c r="A84" s="8">
        <v>4307</v>
      </c>
      <c r="B84" s="8" t="s">
        <v>34</v>
      </c>
      <c r="C84" s="8" t="s">
        <v>35</v>
      </c>
      <c r="D84" s="8" t="s">
        <v>29</v>
      </c>
      <c r="E84" s="8" t="s">
        <v>53</v>
      </c>
      <c r="F84" s="8">
        <v>186</v>
      </c>
      <c r="G84" s="8">
        <v>8.5</v>
      </c>
      <c r="H84" s="8">
        <v>94.07</v>
      </c>
      <c r="I84" s="8">
        <v>6</v>
      </c>
      <c r="J84" s="8">
        <v>12</v>
      </c>
    </row>
    <row r="85" spans="1:10">
      <c r="A85" s="8">
        <v>4012</v>
      </c>
      <c r="B85" s="8" t="s">
        <v>61</v>
      </c>
      <c r="C85" s="8" t="s">
        <v>52</v>
      </c>
      <c r="D85" s="8" t="s">
        <v>47</v>
      </c>
      <c r="E85" s="8" t="s">
        <v>30</v>
      </c>
      <c r="F85" s="8">
        <v>147</v>
      </c>
      <c r="G85" s="8">
        <v>2.7</v>
      </c>
      <c r="H85" s="8">
        <v>57.69</v>
      </c>
      <c r="I85" s="8">
        <v>9.5</v>
      </c>
      <c r="J85" s="8">
        <v>7</v>
      </c>
    </row>
    <row r="86" spans="1:10">
      <c r="A86" s="8">
        <v>4022</v>
      </c>
      <c r="B86" s="8" t="s">
        <v>27</v>
      </c>
      <c r="C86" s="8" t="s">
        <v>59</v>
      </c>
      <c r="D86" s="8" t="s">
        <v>29</v>
      </c>
      <c r="E86" s="8" t="s">
        <v>53</v>
      </c>
      <c r="F86" s="8">
        <v>98</v>
      </c>
      <c r="G86" s="8">
        <v>1.1000000000000001</v>
      </c>
      <c r="H86" s="8">
        <v>50.15</v>
      </c>
      <c r="I86" s="8">
        <v>8.3000000000000007</v>
      </c>
      <c r="J86" s="8">
        <v>7</v>
      </c>
    </row>
    <row r="87" spans="1:10">
      <c r="A87" s="8">
        <v>4123</v>
      </c>
      <c r="B87" s="8" t="s">
        <v>27</v>
      </c>
      <c r="C87" s="8" t="s">
        <v>35</v>
      </c>
      <c r="D87" s="8" t="s">
        <v>29</v>
      </c>
      <c r="E87" s="8" t="s">
        <v>49</v>
      </c>
      <c r="F87" s="8">
        <v>92</v>
      </c>
      <c r="G87" s="8">
        <v>5.3</v>
      </c>
      <c r="H87" s="8">
        <v>57.61</v>
      </c>
      <c r="I87" s="8">
        <v>6.7</v>
      </c>
      <c r="J87" s="8">
        <v>8</v>
      </c>
    </row>
    <row r="88" spans="1:10">
      <c r="A88" s="8">
        <v>4193</v>
      </c>
      <c r="B88" s="8" t="s">
        <v>55</v>
      </c>
      <c r="C88" s="8" t="s">
        <v>45</v>
      </c>
      <c r="D88" s="8" t="s">
        <v>47</v>
      </c>
      <c r="E88" s="8" t="s">
        <v>30</v>
      </c>
      <c r="F88" s="8">
        <v>34</v>
      </c>
      <c r="G88" s="8">
        <v>3</v>
      </c>
      <c r="H88" s="8">
        <v>7.13</v>
      </c>
      <c r="I88" s="8">
        <v>5.3</v>
      </c>
      <c r="J88" s="8">
        <v>0</v>
      </c>
    </row>
    <row r="89" spans="1:10">
      <c r="A89" s="8">
        <v>4085</v>
      </c>
      <c r="B89" s="8" t="s">
        <v>61</v>
      </c>
      <c r="C89" s="8" t="s">
        <v>28</v>
      </c>
      <c r="D89" s="8" t="s">
        <v>29</v>
      </c>
      <c r="E89" s="8" t="s">
        <v>30</v>
      </c>
      <c r="F89" s="8">
        <v>174</v>
      </c>
      <c r="G89" s="8">
        <v>6.2</v>
      </c>
      <c r="H89" s="8">
        <v>81.290000000000006</v>
      </c>
      <c r="I89" s="8">
        <v>6.1</v>
      </c>
      <c r="J89" s="8">
        <v>11</v>
      </c>
    </row>
    <row r="90" spans="1:10">
      <c r="A90" s="8">
        <v>4213</v>
      </c>
      <c r="B90" s="8" t="s">
        <v>44</v>
      </c>
      <c r="C90" s="8" t="s">
        <v>28</v>
      </c>
      <c r="D90" s="8" t="s">
        <v>41</v>
      </c>
      <c r="E90" s="8" t="s">
        <v>42</v>
      </c>
      <c r="F90" s="8">
        <v>123</v>
      </c>
      <c r="G90" s="8">
        <v>7.7</v>
      </c>
      <c r="H90" s="8">
        <v>41.14</v>
      </c>
      <c r="I90" s="8">
        <v>7.3</v>
      </c>
      <c r="J90" s="8">
        <v>6</v>
      </c>
    </row>
    <row r="91" spans="1:10">
      <c r="A91" s="8">
        <v>4164</v>
      </c>
      <c r="B91" s="8" t="s">
        <v>55</v>
      </c>
      <c r="C91" s="8" t="s">
        <v>45</v>
      </c>
      <c r="D91" s="8" t="s">
        <v>47</v>
      </c>
      <c r="E91" s="8" t="s">
        <v>30</v>
      </c>
      <c r="F91" s="8">
        <v>124</v>
      </c>
      <c r="G91" s="8">
        <v>6.1</v>
      </c>
      <c r="H91" s="8">
        <v>51.35</v>
      </c>
      <c r="I91" s="8">
        <v>8.6999999999999993</v>
      </c>
      <c r="J91" s="8">
        <v>12</v>
      </c>
    </row>
    <row r="92" spans="1:10">
      <c r="A92" s="8">
        <v>4046</v>
      </c>
      <c r="B92" s="8" t="s">
        <v>34</v>
      </c>
      <c r="C92" s="8" t="s">
        <v>52</v>
      </c>
      <c r="D92" s="8" t="s">
        <v>47</v>
      </c>
      <c r="E92" s="8" t="s">
        <v>30</v>
      </c>
      <c r="F92" s="8">
        <v>243</v>
      </c>
      <c r="G92" s="8">
        <v>3.6</v>
      </c>
      <c r="H92" s="8">
        <v>39.5</v>
      </c>
      <c r="I92" s="18">
        <v>8.1</v>
      </c>
      <c r="J92" s="8">
        <v>17</v>
      </c>
    </row>
    <row r="93" spans="1:10">
      <c r="A93" s="8">
        <v>4074</v>
      </c>
      <c r="B93" s="8" t="s">
        <v>40</v>
      </c>
      <c r="C93" s="8" t="s">
        <v>59</v>
      </c>
      <c r="D93" s="8" t="s">
        <v>36</v>
      </c>
      <c r="E93" s="8" t="s">
        <v>30</v>
      </c>
      <c r="F93" s="8">
        <v>140</v>
      </c>
      <c r="G93" s="8">
        <v>1.9</v>
      </c>
      <c r="H93" s="8">
        <v>23.82</v>
      </c>
      <c r="I93" s="8">
        <v>8.9</v>
      </c>
      <c r="J93" s="8">
        <v>9</v>
      </c>
    </row>
    <row r="94" spans="1:10">
      <c r="A94" s="8">
        <v>4294</v>
      </c>
      <c r="B94" s="8" t="s">
        <v>60</v>
      </c>
      <c r="C94" s="8" t="s">
        <v>59</v>
      </c>
      <c r="D94" s="8" t="s">
        <v>36</v>
      </c>
      <c r="E94" s="8" t="s">
        <v>42</v>
      </c>
      <c r="F94" s="8">
        <v>224</v>
      </c>
      <c r="G94" s="8">
        <v>2.5</v>
      </c>
      <c r="H94" s="8">
        <v>67.22</v>
      </c>
      <c r="I94" s="8">
        <v>7.5</v>
      </c>
      <c r="J94" s="8">
        <v>6</v>
      </c>
    </row>
    <row r="95" spans="1:10">
      <c r="A95" s="8">
        <v>4017</v>
      </c>
      <c r="B95" s="8" t="s">
        <v>60</v>
      </c>
      <c r="C95" s="8" t="s">
        <v>35</v>
      </c>
      <c r="D95" s="8" t="s">
        <v>36</v>
      </c>
      <c r="E95" s="8" t="s">
        <v>30</v>
      </c>
      <c r="F95" s="8">
        <v>91</v>
      </c>
      <c r="G95" s="8">
        <v>0.9</v>
      </c>
      <c r="H95" s="8">
        <v>39.11</v>
      </c>
      <c r="I95" s="8">
        <v>9.4</v>
      </c>
      <c r="J95" s="8">
        <v>11</v>
      </c>
    </row>
    <row r="96" spans="1:10">
      <c r="A96" s="8">
        <v>4129</v>
      </c>
      <c r="B96" s="8" t="s">
        <v>60</v>
      </c>
      <c r="C96" s="8" t="s">
        <v>52</v>
      </c>
      <c r="D96" s="8" t="s">
        <v>36</v>
      </c>
      <c r="E96" s="8" t="s">
        <v>49</v>
      </c>
      <c r="F96" s="8">
        <v>236</v>
      </c>
      <c r="G96" s="8">
        <v>3.5</v>
      </c>
      <c r="H96" s="8">
        <v>122.15</v>
      </c>
      <c r="I96" s="8">
        <v>6.7</v>
      </c>
      <c r="J96" s="8">
        <v>10</v>
      </c>
    </row>
    <row r="97" spans="1:10">
      <c r="A97" s="8">
        <v>4083</v>
      </c>
      <c r="B97" s="8" t="s">
        <v>34</v>
      </c>
      <c r="C97" s="8" t="s">
        <v>45</v>
      </c>
      <c r="D97" s="8" t="s">
        <v>36</v>
      </c>
      <c r="E97" s="8" t="s">
        <v>49</v>
      </c>
      <c r="F97" s="8">
        <v>118</v>
      </c>
      <c r="G97" s="8">
        <v>5.5</v>
      </c>
      <c r="H97" s="8">
        <v>46.21</v>
      </c>
      <c r="I97" s="8">
        <v>9.6</v>
      </c>
      <c r="J97" s="8">
        <v>5</v>
      </c>
    </row>
    <row r="98" spans="1:10">
      <c r="A98" s="8">
        <v>4295</v>
      </c>
      <c r="B98" s="8" t="s">
        <v>55</v>
      </c>
      <c r="C98" s="8" t="s">
        <v>59</v>
      </c>
      <c r="D98" s="8" t="s">
        <v>47</v>
      </c>
      <c r="E98" s="8" t="s">
        <v>30</v>
      </c>
      <c r="F98" s="8">
        <v>158</v>
      </c>
      <c r="G98" s="8">
        <v>5.8</v>
      </c>
      <c r="H98" s="8">
        <v>73.86</v>
      </c>
      <c r="I98" s="8">
        <v>8.6999999999999993</v>
      </c>
      <c r="J98" s="8">
        <v>6</v>
      </c>
    </row>
    <row r="99" spans="1:10">
      <c r="A99" s="8">
        <v>4112</v>
      </c>
      <c r="B99" s="8" t="s">
        <v>27</v>
      </c>
      <c r="C99" s="8" t="s">
        <v>52</v>
      </c>
      <c r="D99" s="8" t="s">
        <v>47</v>
      </c>
      <c r="E99" s="8" t="s">
        <v>53</v>
      </c>
      <c r="F99" s="8">
        <v>135</v>
      </c>
      <c r="G99" s="8">
        <v>4.3</v>
      </c>
      <c r="H99" s="8">
        <v>78.84</v>
      </c>
      <c r="I99" s="8">
        <v>7.7</v>
      </c>
      <c r="J99" s="8">
        <v>12</v>
      </c>
    </row>
    <row r="100" spans="1:10">
      <c r="A100" s="8">
        <v>4292</v>
      </c>
      <c r="B100" s="8" t="s">
        <v>60</v>
      </c>
      <c r="C100" s="8" t="s">
        <v>52</v>
      </c>
      <c r="D100" s="8" t="s">
        <v>47</v>
      </c>
      <c r="E100" s="8" t="s">
        <v>30</v>
      </c>
      <c r="F100" s="8">
        <v>225</v>
      </c>
      <c r="G100" s="8">
        <v>2.7</v>
      </c>
      <c r="H100" s="8">
        <v>45.25</v>
      </c>
      <c r="I100" s="8">
        <v>6.6</v>
      </c>
      <c r="J100" s="8">
        <v>13</v>
      </c>
    </row>
    <row r="101" spans="1:10">
      <c r="A101" s="8">
        <v>4212</v>
      </c>
      <c r="B101" s="8" t="s">
        <v>55</v>
      </c>
      <c r="C101" s="8" t="s">
        <v>52</v>
      </c>
      <c r="D101" s="8" t="s">
        <v>29</v>
      </c>
      <c r="E101" s="8" t="s">
        <v>42</v>
      </c>
      <c r="F101" s="8">
        <v>113</v>
      </c>
      <c r="G101" s="8">
        <v>6.5</v>
      </c>
      <c r="H101" s="8">
        <v>24.55</v>
      </c>
      <c r="I101" s="8">
        <v>6.2</v>
      </c>
      <c r="J101" s="8">
        <v>4</v>
      </c>
    </row>
    <row r="102" spans="1:10">
      <c r="A102" s="8">
        <v>4006</v>
      </c>
      <c r="B102" s="8" t="s">
        <v>58</v>
      </c>
      <c r="C102" s="8" t="s">
        <v>52</v>
      </c>
      <c r="D102" s="8" t="s">
        <v>29</v>
      </c>
      <c r="E102" s="8" t="s">
        <v>49</v>
      </c>
      <c r="F102" s="8">
        <v>164</v>
      </c>
      <c r="G102" s="8">
        <v>6.1</v>
      </c>
      <c r="H102" s="8">
        <v>56.95</v>
      </c>
      <c r="I102" s="8">
        <v>8.5</v>
      </c>
      <c r="J102" s="8">
        <v>12</v>
      </c>
    </row>
    <row r="103" spans="1:10">
      <c r="A103" s="8">
        <v>4272</v>
      </c>
      <c r="B103" s="8" t="s">
        <v>44</v>
      </c>
      <c r="C103" s="8" t="s">
        <v>59</v>
      </c>
      <c r="D103" s="8" t="s">
        <v>36</v>
      </c>
      <c r="E103" s="8" t="s">
        <v>38</v>
      </c>
      <c r="F103" s="8">
        <v>119</v>
      </c>
      <c r="G103" s="8">
        <v>4.3</v>
      </c>
      <c r="H103" s="8">
        <v>28.63</v>
      </c>
      <c r="I103" s="8">
        <v>7.5</v>
      </c>
      <c r="J103" s="8">
        <v>13</v>
      </c>
    </row>
    <row r="104" spans="1:10">
      <c r="A104" s="8">
        <v>4154</v>
      </c>
      <c r="B104" s="8" t="s">
        <v>44</v>
      </c>
      <c r="C104" s="8" t="s">
        <v>35</v>
      </c>
      <c r="D104" s="8" t="s">
        <v>29</v>
      </c>
      <c r="E104" s="8" t="s">
        <v>49</v>
      </c>
      <c r="F104" s="8">
        <v>159</v>
      </c>
      <c r="G104" s="8">
        <v>7.4</v>
      </c>
      <c r="H104" s="8">
        <v>46.11</v>
      </c>
      <c r="I104" s="8">
        <v>6.7</v>
      </c>
      <c r="J104" s="8">
        <v>8</v>
      </c>
    </row>
    <row r="105" spans="1:10">
      <c r="A105" s="8">
        <v>4268</v>
      </c>
      <c r="B105" s="8" t="s">
        <v>27</v>
      </c>
      <c r="C105" s="8" t="s">
        <v>45</v>
      </c>
      <c r="D105" s="8" t="s">
        <v>41</v>
      </c>
      <c r="E105" s="8" t="s">
        <v>42</v>
      </c>
      <c r="F105" s="8">
        <v>91</v>
      </c>
      <c r="G105" s="8">
        <v>9.1</v>
      </c>
      <c r="H105" s="8">
        <v>23.32</v>
      </c>
      <c r="I105" s="8">
        <v>8.6999999999999993</v>
      </c>
      <c r="J105" s="8">
        <v>4</v>
      </c>
    </row>
    <row r="106" spans="1:10">
      <c r="A106" s="8">
        <v>4318</v>
      </c>
      <c r="B106" s="8" t="s">
        <v>61</v>
      </c>
      <c r="C106" s="8" t="s">
        <v>52</v>
      </c>
      <c r="D106" s="8" t="s">
        <v>29</v>
      </c>
      <c r="E106" s="8" t="s">
        <v>49</v>
      </c>
      <c r="F106" s="8">
        <v>23</v>
      </c>
      <c r="G106" s="8">
        <v>3.6</v>
      </c>
      <c r="H106" s="8">
        <v>4.7</v>
      </c>
      <c r="I106" s="8">
        <v>9.4</v>
      </c>
      <c r="J106" s="8">
        <v>8</v>
      </c>
    </row>
    <row r="107" spans="1:10">
      <c r="A107" s="8">
        <v>4257</v>
      </c>
      <c r="B107" s="8" t="s">
        <v>58</v>
      </c>
      <c r="C107" s="8" t="s">
        <v>59</v>
      </c>
      <c r="D107" s="8" t="s">
        <v>36</v>
      </c>
      <c r="E107" s="8" t="s">
        <v>42</v>
      </c>
      <c r="F107" s="8">
        <v>132</v>
      </c>
      <c r="G107" s="8">
        <v>4.4000000000000004</v>
      </c>
      <c r="H107" s="8">
        <v>61.59</v>
      </c>
      <c r="I107" s="8">
        <v>8.1</v>
      </c>
      <c r="J107" s="8">
        <v>6</v>
      </c>
    </row>
    <row r="108" spans="1:10">
      <c r="A108" s="8">
        <v>4021</v>
      </c>
      <c r="B108" s="8" t="s">
        <v>60</v>
      </c>
      <c r="C108" s="8" t="s">
        <v>28</v>
      </c>
      <c r="D108" s="8" t="s">
        <v>36</v>
      </c>
      <c r="E108" s="8" t="s">
        <v>38</v>
      </c>
      <c r="F108" s="14">
        <v>141</v>
      </c>
      <c r="G108" s="8">
        <v>2.6</v>
      </c>
      <c r="H108" s="8">
        <v>46.54</v>
      </c>
      <c r="I108" s="8">
        <v>7.4</v>
      </c>
      <c r="J108" s="8">
        <v>12</v>
      </c>
    </row>
    <row r="109" spans="1:10">
      <c r="A109" s="8">
        <v>4253</v>
      </c>
      <c r="B109" s="8" t="s">
        <v>60</v>
      </c>
      <c r="C109" s="8" t="s">
        <v>45</v>
      </c>
      <c r="D109" s="8" t="s">
        <v>29</v>
      </c>
      <c r="E109" s="8" t="s">
        <v>30</v>
      </c>
      <c r="F109" s="8">
        <v>191</v>
      </c>
      <c r="G109" s="8">
        <v>5.9</v>
      </c>
      <c r="H109" s="8">
        <v>53.59</v>
      </c>
      <c r="I109" s="8">
        <v>7.6</v>
      </c>
      <c r="J109" s="8">
        <v>8</v>
      </c>
    </row>
    <row r="110" spans="1:10">
      <c r="A110" s="8">
        <v>4143</v>
      </c>
      <c r="B110" s="8" t="s">
        <v>40</v>
      </c>
      <c r="C110" s="8" t="s">
        <v>35</v>
      </c>
      <c r="D110" s="8" t="s">
        <v>29</v>
      </c>
      <c r="E110" s="8" t="s">
        <v>30</v>
      </c>
      <c r="F110" s="8">
        <v>139</v>
      </c>
      <c r="G110" s="8">
        <v>10.1</v>
      </c>
      <c r="H110" s="8">
        <v>42.45</v>
      </c>
      <c r="I110" s="8">
        <v>7.3</v>
      </c>
      <c r="J110" s="8">
        <v>4</v>
      </c>
    </row>
    <row r="111" spans="1:10">
      <c r="A111" s="8">
        <v>4071</v>
      </c>
      <c r="B111" s="8" t="s">
        <v>60</v>
      </c>
      <c r="C111" s="8" t="s">
        <v>52</v>
      </c>
      <c r="D111" s="8" t="s">
        <v>41</v>
      </c>
      <c r="E111" s="8" t="s">
        <v>49</v>
      </c>
      <c r="F111" s="8">
        <v>76</v>
      </c>
      <c r="G111" s="8">
        <v>11.2</v>
      </c>
      <c r="H111" s="8">
        <v>38.049999999999997</v>
      </c>
      <c r="I111" s="8">
        <v>8.5</v>
      </c>
      <c r="J111" s="8">
        <v>7</v>
      </c>
    </row>
    <row r="112" spans="1:10">
      <c r="A112" s="8">
        <v>4124</v>
      </c>
      <c r="B112" s="8" t="s">
        <v>58</v>
      </c>
      <c r="C112" s="8" t="s">
        <v>45</v>
      </c>
      <c r="D112" s="8" t="s">
        <v>47</v>
      </c>
      <c r="E112" s="8" t="s">
        <v>38</v>
      </c>
      <c r="F112" s="8">
        <v>77</v>
      </c>
      <c r="G112" s="8">
        <v>1.8</v>
      </c>
      <c r="H112" s="8">
        <v>32.200000000000003</v>
      </c>
      <c r="I112" s="8">
        <v>7.8</v>
      </c>
      <c r="J112" s="8">
        <v>7</v>
      </c>
    </row>
    <row r="113" spans="1:10">
      <c r="A113" s="8">
        <v>4293</v>
      </c>
      <c r="B113" s="8" t="s">
        <v>27</v>
      </c>
      <c r="C113" s="8" t="s">
        <v>35</v>
      </c>
      <c r="D113" s="8" t="s">
        <v>47</v>
      </c>
      <c r="E113" s="8" t="s">
        <v>53</v>
      </c>
      <c r="F113" s="8">
        <v>147</v>
      </c>
      <c r="G113" s="8">
        <v>3.4</v>
      </c>
      <c r="H113" s="8">
        <v>60.49</v>
      </c>
      <c r="I113" s="8">
        <v>5.0999999999999996</v>
      </c>
      <c r="J113" s="14">
        <v>8</v>
      </c>
    </row>
    <row r="114" spans="1:10">
      <c r="A114" s="8">
        <v>4327</v>
      </c>
      <c r="B114" s="8" t="s">
        <v>27</v>
      </c>
      <c r="C114" s="8" t="s">
        <v>59</v>
      </c>
      <c r="D114" s="8" t="s">
        <v>41</v>
      </c>
      <c r="E114" s="8" t="s">
        <v>49</v>
      </c>
      <c r="F114" s="8">
        <v>155</v>
      </c>
      <c r="G114" s="8">
        <v>10.7</v>
      </c>
      <c r="H114" s="8">
        <v>46.82</v>
      </c>
      <c r="I114" s="8">
        <v>8.6</v>
      </c>
      <c r="J114" s="8">
        <v>14</v>
      </c>
    </row>
    <row r="115" spans="1:10">
      <c r="A115" s="8">
        <v>4149</v>
      </c>
      <c r="B115" s="8" t="s">
        <v>44</v>
      </c>
      <c r="C115" s="8" t="s">
        <v>35</v>
      </c>
      <c r="D115" s="8" t="s">
        <v>41</v>
      </c>
      <c r="E115" s="8" t="s">
        <v>38</v>
      </c>
      <c r="F115" s="8">
        <v>171</v>
      </c>
      <c r="G115" s="8">
        <v>6.7</v>
      </c>
      <c r="H115" s="8">
        <v>54.43</v>
      </c>
      <c r="I115" s="8">
        <v>7.7</v>
      </c>
      <c r="J115" s="8">
        <v>13</v>
      </c>
    </row>
    <row r="116" spans="1:10">
      <c r="A116" s="8">
        <v>4258</v>
      </c>
      <c r="B116" s="8" t="s">
        <v>34</v>
      </c>
      <c r="C116" s="8" t="s">
        <v>52</v>
      </c>
      <c r="D116" s="8" t="s">
        <v>36</v>
      </c>
      <c r="E116" s="8" t="s">
        <v>30</v>
      </c>
      <c r="F116" s="8">
        <v>190</v>
      </c>
      <c r="G116" s="8">
        <v>4.5</v>
      </c>
      <c r="H116" s="8">
        <v>34.33</v>
      </c>
      <c r="I116" s="8">
        <v>7.6</v>
      </c>
      <c r="J116" s="8">
        <v>12</v>
      </c>
    </row>
    <row r="117" spans="1:10">
      <c r="A117" s="8">
        <v>4147</v>
      </c>
      <c r="B117" s="8" t="s">
        <v>27</v>
      </c>
      <c r="C117" s="8" t="s">
        <v>59</v>
      </c>
      <c r="D117" s="8" t="s">
        <v>36</v>
      </c>
      <c r="E117" s="8" t="s">
        <v>49</v>
      </c>
      <c r="F117" s="8">
        <v>124</v>
      </c>
      <c r="G117" s="8">
        <v>3.2</v>
      </c>
      <c r="H117" s="8">
        <v>28.4</v>
      </c>
      <c r="I117" s="8">
        <v>7.3</v>
      </c>
      <c r="J117" s="8">
        <v>5</v>
      </c>
    </row>
    <row r="118" spans="1:10">
      <c r="A118" s="8">
        <v>4291</v>
      </c>
      <c r="B118" s="8" t="s">
        <v>55</v>
      </c>
      <c r="C118" s="8" t="s">
        <v>45</v>
      </c>
      <c r="D118" s="8" t="s">
        <v>47</v>
      </c>
      <c r="E118" s="8" t="s">
        <v>38</v>
      </c>
      <c r="F118" s="8">
        <v>238</v>
      </c>
      <c r="G118" s="8">
        <v>5.2</v>
      </c>
      <c r="H118" s="8">
        <v>90.39</v>
      </c>
      <c r="I118" s="8">
        <v>7.9</v>
      </c>
      <c r="J118" s="8">
        <v>13</v>
      </c>
    </row>
    <row r="119" spans="1:10">
      <c r="A119" s="8">
        <v>4134</v>
      </c>
      <c r="B119" s="8" t="s">
        <v>34</v>
      </c>
      <c r="C119" s="8" t="s">
        <v>28</v>
      </c>
      <c r="D119" s="8" t="s">
        <v>47</v>
      </c>
      <c r="E119" s="8" t="s">
        <v>49</v>
      </c>
      <c r="F119" s="8">
        <v>217</v>
      </c>
      <c r="G119" s="8">
        <v>4.3</v>
      </c>
      <c r="H119" s="8">
        <v>114.54</v>
      </c>
      <c r="I119" s="8">
        <v>7</v>
      </c>
      <c r="J119" s="8">
        <v>12</v>
      </c>
    </row>
    <row r="120" spans="1:10">
      <c r="A120" s="8">
        <v>4229</v>
      </c>
      <c r="B120" s="8" t="s">
        <v>61</v>
      </c>
      <c r="C120" s="8" t="s">
        <v>45</v>
      </c>
      <c r="D120" s="8" t="s">
        <v>41</v>
      </c>
      <c r="E120" s="8" t="s">
        <v>42</v>
      </c>
      <c r="F120" s="8">
        <v>165</v>
      </c>
      <c r="G120" s="8">
        <v>17.100000000000001</v>
      </c>
      <c r="H120" s="8">
        <v>28.42</v>
      </c>
      <c r="I120" s="8">
        <v>7.9</v>
      </c>
      <c r="J120" s="8">
        <v>11</v>
      </c>
    </row>
    <row r="121" spans="1:10">
      <c r="A121" s="8">
        <v>4183</v>
      </c>
      <c r="B121" s="8" t="s">
        <v>58</v>
      </c>
      <c r="C121" s="8" t="s">
        <v>45</v>
      </c>
      <c r="D121" s="8" t="s">
        <v>41</v>
      </c>
      <c r="E121" s="8" t="s">
        <v>49</v>
      </c>
      <c r="F121" s="8">
        <v>170</v>
      </c>
      <c r="G121" s="8">
        <v>9</v>
      </c>
      <c r="H121" s="8">
        <v>92.28</v>
      </c>
      <c r="I121" s="8">
        <v>8.1999999999999993</v>
      </c>
      <c r="J121" s="8">
        <v>13</v>
      </c>
    </row>
    <row r="122" spans="1:10">
      <c r="A122" s="8">
        <v>4232</v>
      </c>
      <c r="B122" s="8" t="s">
        <v>44</v>
      </c>
      <c r="C122" s="8" t="s">
        <v>28</v>
      </c>
      <c r="D122" s="8" t="s">
        <v>47</v>
      </c>
      <c r="E122" s="8" t="s">
        <v>53</v>
      </c>
      <c r="F122" s="8">
        <v>131</v>
      </c>
      <c r="G122" s="8">
        <v>5</v>
      </c>
      <c r="H122" s="8">
        <v>32.57</v>
      </c>
      <c r="I122" s="8">
        <v>8.6999999999999993</v>
      </c>
      <c r="J122" s="8">
        <v>12</v>
      </c>
    </row>
    <row r="123" spans="1:10">
      <c r="A123" s="8">
        <v>4146</v>
      </c>
      <c r="B123" s="8" t="s">
        <v>27</v>
      </c>
      <c r="C123" s="8" t="s">
        <v>28</v>
      </c>
      <c r="D123" s="8" t="s">
        <v>29</v>
      </c>
      <c r="E123" s="8" t="s">
        <v>30</v>
      </c>
      <c r="F123" s="8">
        <v>84</v>
      </c>
      <c r="G123" s="8">
        <v>8.9</v>
      </c>
      <c r="H123" s="8">
        <v>29.67</v>
      </c>
      <c r="I123" s="8">
        <v>9.5</v>
      </c>
      <c r="J123" s="8">
        <v>2</v>
      </c>
    </row>
    <row r="124" spans="1:10">
      <c r="A124" s="8">
        <v>4247</v>
      </c>
      <c r="B124" s="8" t="s">
        <v>58</v>
      </c>
      <c r="C124" s="8" t="s">
        <v>45</v>
      </c>
      <c r="D124" s="8" t="s">
        <v>36</v>
      </c>
      <c r="E124" s="8" t="s">
        <v>53</v>
      </c>
      <c r="F124" s="8">
        <v>102</v>
      </c>
      <c r="G124" s="8">
        <v>1.9</v>
      </c>
      <c r="H124" s="8">
        <v>59.96</v>
      </c>
      <c r="I124" s="8">
        <v>9.1</v>
      </c>
      <c r="J124" s="8">
        <v>1</v>
      </c>
    </row>
    <row r="125" spans="1:10">
      <c r="A125" s="8">
        <v>4314</v>
      </c>
      <c r="B125" s="8" t="s">
        <v>60</v>
      </c>
      <c r="C125" s="8" t="s">
        <v>35</v>
      </c>
      <c r="D125" s="8" t="s">
        <v>36</v>
      </c>
      <c r="E125" s="8" t="s">
        <v>42</v>
      </c>
      <c r="F125" s="8">
        <v>19</v>
      </c>
      <c r="G125" s="8">
        <v>2.6</v>
      </c>
      <c r="H125" s="8">
        <v>1</v>
      </c>
      <c r="I125" s="8">
        <v>7.8</v>
      </c>
      <c r="J125" s="8">
        <v>0</v>
      </c>
    </row>
    <row r="126" spans="1:10">
      <c r="A126" s="8">
        <v>4240</v>
      </c>
      <c r="B126" s="8" t="s">
        <v>44</v>
      </c>
      <c r="C126" s="8" t="s">
        <v>28</v>
      </c>
      <c r="D126" s="8" t="s">
        <v>41</v>
      </c>
      <c r="E126" s="8" t="s">
        <v>30</v>
      </c>
      <c r="F126" s="8">
        <v>206</v>
      </c>
      <c r="G126" s="8">
        <v>13.4</v>
      </c>
      <c r="H126" s="8">
        <v>71.33</v>
      </c>
      <c r="I126" s="8">
        <v>7.2</v>
      </c>
      <c r="J126" s="8">
        <v>11</v>
      </c>
    </row>
    <row r="127" spans="1:10">
      <c r="A127" s="8">
        <v>4162</v>
      </c>
      <c r="B127" s="8" t="s">
        <v>61</v>
      </c>
      <c r="C127" s="8" t="s">
        <v>35</v>
      </c>
      <c r="D127" s="8" t="s">
        <v>47</v>
      </c>
      <c r="E127" s="8" t="s">
        <v>38</v>
      </c>
      <c r="F127" s="8">
        <v>166</v>
      </c>
      <c r="G127" s="8">
        <v>2.5</v>
      </c>
      <c r="H127" s="8">
        <v>55.63</v>
      </c>
      <c r="I127" s="8">
        <v>7.1</v>
      </c>
      <c r="J127" s="8">
        <v>8</v>
      </c>
    </row>
    <row r="128" spans="1:10">
      <c r="A128" s="8">
        <v>4062</v>
      </c>
      <c r="B128" s="8" t="s">
        <v>60</v>
      </c>
      <c r="C128" s="8" t="s">
        <v>28</v>
      </c>
      <c r="D128" s="8" t="s">
        <v>29</v>
      </c>
      <c r="E128" s="8" t="s">
        <v>42</v>
      </c>
      <c r="F128" s="8">
        <v>110</v>
      </c>
      <c r="G128" s="8">
        <v>7.1</v>
      </c>
      <c r="H128" s="8">
        <v>21.9</v>
      </c>
      <c r="I128" s="8">
        <v>10</v>
      </c>
      <c r="J128" s="8">
        <v>9</v>
      </c>
    </row>
    <row r="129" spans="1:10">
      <c r="A129" s="8">
        <v>4116</v>
      </c>
      <c r="B129" s="8" t="s">
        <v>58</v>
      </c>
      <c r="C129" s="8" t="s">
        <v>59</v>
      </c>
      <c r="D129" s="8" t="s">
        <v>47</v>
      </c>
      <c r="E129" s="8" t="s">
        <v>30</v>
      </c>
      <c r="F129" s="8">
        <v>50</v>
      </c>
      <c r="G129" s="8">
        <v>5.8</v>
      </c>
      <c r="H129" s="8">
        <v>9.2200000000000006</v>
      </c>
      <c r="I129" s="8">
        <v>8</v>
      </c>
      <c r="J129" s="8">
        <v>3</v>
      </c>
    </row>
    <row r="130" spans="1:10">
      <c r="A130" s="8">
        <v>4155</v>
      </c>
      <c r="B130" s="8" t="s">
        <v>34</v>
      </c>
      <c r="C130" s="8" t="s">
        <v>45</v>
      </c>
      <c r="D130" s="8" t="s">
        <v>36</v>
      </c>
      <c r="E130" s="8" t="s">
        <v>30</v>
      </c>
      <c r="F130" s="8">
        <v>98</v>
      </c>
      <c r="G130" s="8">
        <v>3</v>
      </c>
      <c r="H130" s="8">
        <v>21.75</v>
      </c>
      <c r="I130" s="8">
        <v>6.7</v>
      </c>
      <c r="J130" s="8">
        <v>7</v>
      </c>
    </row>
    <row r="131" spans="1:10">
      <c r="A131" s="8">
        <v>4167</v>
      </c>
      <c r="B131" s="8" t="s">
        <v>34</v>
      </c>
      <c r="C131" s="8" t="s">
        <v>28</v>
      </c>
      <c r="D131" s="8" t="s">
        <v>29</v>
      </c>
      <c r="E131" s="8" t="s">
        <v>53</v>
      </c>
      <c r="F131" s="8">
        <v>222</v>
      </c>
      <c r="G131" s="8">
        <v>8.9</v>
      </c>
      <c r="H131" s="8">
        <v>93.37</v>
      </c>
      <c r="I131" s="8">
        <v>7.9</v>
      </c>
      <c r="J131" s="8">
        <v>17</v>
      </c>
    </row>
    <row r="132" spans="1:10">
      <c r="A132" s="8">
        <v>4309</v>
      </c>
      <c r="B132" s="8" t="s">
        <v>60</v>
      </c>
      <c r="C132" s="8" t="s">
        <v>52</v>
      </c>
      <c r="D132" s="8" t="s">
        <v>47</v>
      </c>
      <c r="E132" s="8" t="s">
        <v>38</v>
      </c>
      <c r="F132" s="8">
        <v>190</v>
      </c>
      <c r="G132" s="8">
        <v>5.2</v>
      </c>
      <c r="H132" s="8">
        <v>35.99</v>
      </c>
      <c r="I132" s="8">
        <v>8.3000000000000007</v>
      </c>
      <c r="J132" s="8">
        <v>10</v>
      </c>
    </row>
    <row r="133" spans="1:10">
      <c r="A133" s="8">
        <v>4301</v>
      </c>
      <c r="B133" s="8" t="s">
        <v>58</v>
      </c>
      <c r="C133" s="8" t="s">
        <v>35</v>
      </c>
      <c r="D133" s="8" t="s">
        <v>36</v>
      </c>
      <c r="E133" s="8" t="s">
        <v>38</v>
      </c>
      <c r="F133" s="8">
        <v>216</v>
      </c>
      <c r="G133" s="8">
        <v>4</v>
      </c>
      <c r="H133" s="8">
        <v>34.96</v>
      </c>
      <c r="I133" s="8">
        <v>7.2</v>
      </c>
      <c r="J133" s="8">
        <v>13</v>
      </c>
    </row>
    <row r="134" spans="1:10">
      <c r="A134" s="8">
        <v>4174</v>
      </c>
      <c r="B134" s="8" t="s">
        <v>27</v>
      </c>
      <c r="C134" s="8" t="s">
        <v>45</v>
      </c>
      <c r="D134" s="8" t="s">
        <v>47</v>
      </c>
      <c r="E134" s="8" t="s">
        <v>30</v>
      </c>
      <c r="F134" s="8">
        <v>182</v>
      </c>
      <c r="G134" s="8">
        <v>3</v>
      </c>
      <c r="H134" s="8">
        <v>55.95</v>
      </c>
      <c r="I134" s="8">
        <v>8.6999999999999993</v>
      </c>
      <c r="J134" s="8">
        <v>8</v>
      </c>
    </row>
    <row r="135" spans="1:10">
      <c r="A135" s="8">
        <v>4170</v>
      </c>
      <c r="B135" s="8" t="s">
        <v>55</v>
      </c>
      <c r="C135" s="8" t="s">
        <v>59</v>
      </c>
      <c r="D135" s="8" t="s">
        <v>36</v>
      </c>
      <c r="E135" s="8" t="s">
        <v>42</v>
      </c>
      <c r="F135" s="8">
        <v>113</v>
      </c>
      <c r="G135" s="13">
        <v>4.5</v>
      </c>
      <c r="H135" s="8">
        <v>53.72</v>
      </c>
      <c r="I135" s="8">
        <v>7.9</v>
      </c>
      <c r="J135" s="8">
        <v>17</v>
      </c>
    </row>
    <row r="136" spans="1:10">
      <c r="A136" s="8">
        <v>4050</v>
      </c>
      <c r="B136" s="8" t="s">
        <v>44</v>
      </c>
      <c r="C136" s="8" t="s">
        <v>28</v>
      </c>
      <c r="D136" s="8" t="s">
        <v>36</v>
      </c>
      <c r="E136" s="8" t="s">
        <v>38</v>
      </c>
      <c r="F136" s="8">
        <v>79</v>
      </c>
      <c r="G136" s="8">
        <v>2.6</v>
      </c>
      <c r="H136" s="8">
        <v>41.83</v>
      </c>
      <c r="I136" s="8">
        <v>8.4</v>
      </c>
      <c r="J136" s="8">
        <v>3</v>
      </c>
    </row>
    <row r="137" spans="1:10">
      <c r="A137" s="8">
        <v>4089</v>
      </c>
      <c r="B137" s="8" t="s">
        <v>34</v>
      </c>
      <c r="C137" s="8" t="s">
        <v>52</v>
      </c>
      <c r="D137" s="8" t="s">
        <v>36</v>
      </c>
      <c r="E137" s="8" t="s">
        <v>49</v>
      </c>
      <c r="F137" s="8">
        <v>87</v>
      </c>
      <c r="G137" s="8">
        <v>2.6</v>
      </c>
      <c r="H137" s="8">
        <v>39.92</v>
      </c>
      <c r="I137" s="8">
        <v>8.6999999999999993</v>
      </c>
      <c r="J137" s="8">
        <v>5</v>
      </c>
    </row>
    <row r="138" spans="1:10">
      <c r="A138" s="8">
        <v>4001</v>
      </c>
      <c r="B138" s="8" t="s">
        <v>27</v>
      </c>
      <c r="C138" s="8" t="s">
        <v>35</v>
      </c>
      <c r="D138" s="8" t="s">
        <v>29</v>
      </c>
      <c r="E138" s="8" t="s">
        <v>38</v>
      </c>
      <c r="F138" s="8">
        <v>206</v>
      </c>
      <c r="G138" s="8">
        <v>8.6</v>
      </c>
      <c r="H138" s="8">
        <v>66.59</v>
      </c>
      <c r="I138" s="8">
        <v>8.4</v>
      </c>
      <c r="J138" s="8">
        <v>16</v>
      </c>
    </row>
    <row r="139" spans="1:10">
      <c r="A139" s="8">
        <v>4222</v>
      </c>
      <c r="B139" s="8" t="s">
        <v>60</v>
      </c>
      <c r="C139" s="8" t="s">
        <v>59</v>
      </c>
      <c r="D139" s="8" t="s">
        <v>47</v>
      </c>
      <c r="E139" s="8" t="s">
        <v>49</v>
      </c>
      <c r="F139" s="8">
        <v>282</v>
      </c>
      <c r="G139" s="8">
        <v>2.4</v>
      </c>
      <c r="H139" s="8">
        <v>143.78</v>
      </c>
      <c r="I139" s="8">
        <v>8.1999999999999993</v>
      </c>
      <c r="J139" s="8">
        <v>11</v>
      </c>
    </row>
    <row r="140" spans="1:10">
      <c r="A140" s="8">
        <v>4182</v>
      </c>
      <c r="B140" s="8" t="s">
        <v>34</v>
      </c>
      <c r="C140" s="8" t="s">
        <v>59</v>
      </c>
      <c r="D140" s="8" t="s">
        <v>41</v>
      </c>
      <c r="E140" s="8" t="s">
        <v>42</v>
      </c>
      <c r="F140" s="8">
        <v>220</v>
      </c>
      <c r="G140" s="8">
        <v>6.8</v>
      </c>
      <c r="H140" s="8">
        <v>56.58</v>
      </c>
      <c r="I140" s="8">
        <v>8.1999999999999993</v>
      </c>
      <c r="J140" s="8">
        <v>9</v>
      </c>
    </row>
    <row r="141" spans="1:10">
      <c r="A141" s="8">
        <v>4077</v>
      </c>
      <c r="B141" s="8" t="s">
        <v>44</v>
      </c>
      <c r="C141" s="8" t="s">
        <v>28</v>
      </c>
      <c r="D141" s="8" t="s">
        <v>29</v>
      </c>
      <c r="E141" s="8" t="s">
        <v>38</v>
      </c>
      <c r="F141" s="8">
        <v>172</v>
      </c>
      <c r="G141" s="8">
        <v>6.5</v>
      </c>
      <c r="H141" s="8">
        <v>55.99</v>
      </c>
      <c r="I141" s="8">
        <v>10</v>
      </c>
      <c r="J141" s="8">
        <v>11</v>
      </c>
    </row>
    <row r="142" spans="1:10">
      <c r="A142" s="8">
        <v>4059</v>
      </c>
      <c r="B142" s="8" t="s">
        <v>34</v>
      </c>
      <c r="C142" s="8" t="s">
        <v>35</v>
      </c>
      <c r="D142" s="8" t="s">
        <v>47</v>
      </c>
      <c r="E142" s="8" t="s">
        <v>49</v>
      </c>
      <c r="F142" s="8">
        <v>139</v>
      </c>
      <c r="G142" s="8">
        <v>4.5</v>
      </c>
      <c r="H142" s="8">
        <v>43.91</v>
      </c>
      <c r="I142" s="8">
        <v>7.7</v>
      </c>
      <c r="J142" s="8">
        <v>14</v>
      </c>
    </row>
    <row r="143" spans="1:10">
      <c r="A143" s="8">
        <v>4070</v>
      </c>
      <c r="B143" s="8" t="s">
        <v>55</v>
      </c>
      <c r="C143" s="8" t="s">
        <v>45</v>
      </c>
      <c r="D143" s="8" t="s">
        <v>47</v>
      </c>
      <c r="E143" s="8" t="s">
        <v>53</v>
      </c>
      <c r="F143" s="8">
        <v>98</v>
      </c>
      <c r="G143" s="8">
        <v>6.2</v>
      </c>
      <c r="H143" s="8">
        <v>19.16</v>
      </c>
      <c r="I143" s="8">
        <v>8.9</v>
      </c>
      <c r="J143" s="8">
        <v>9</v>
      </c>
    </row>
    <row r="144" spans="1:10">
      <c r="A144" s="8">
        <v>4121</v>
      </c>
      <c r="B144" s="8" t="s">
        <v>61</v>
      </c>
      <c r="C144" s="8" t="s">
        <v>59</v>
      </c>
      <c r="D144" s="8" t="s">
        <v>36</v>
      </c>
      <c r="E144" s="8" t="s">
        <v>42</v>
      </c>
      <c r="F144" s="8">
        <v>100</v>
      </c>
      <c r="G144" s="8">
        <v>1.6</v>
      </c>
      <c r="H144" s="8">
        <v>55.81</v>
      </c>
      <c r="I144" s="8">
        <v>7.9</v>
      </c>
      <c r="J144" s="8">
        <v>13</v>
      </c>
    </row>
    <row r="145" spans="1:10">
      <c r="A145" s="8">
        <v>4254</v>
      </c>
      <c r="B145" s="8" t="s">
        <v>34</v>
      </c>
      <c r="C145" s="8" t="s">
        <v>45</v>
      </c>
      <c r="D145" s="8" t="s">
        <v>29</v>
      </c>
      <c r="E145" s="8" t="s">
        <v>30</v>
      </c>
      <c r="F145" s="8">
        <v>119</v>
      </c>
      <c r="G145" s="8">
        <v>6.2</v>
      </c>
      <c r="H145" s="8">
        <v>61.86</v>
      </c>
      <c r="I145" s="8">
        <v>8.5</v>
      </c>
      <c r="J145" s="8">
        <v>3</v>
      </c>
    </row>
    <row r="146" spans="1:10">
      <c r="A146" s="8">
        <v>4151</v>
      </c>
      <c r="B146" s="8" t="s">
        <v>40</v>
      </c>
      <c r="C146" s="8" t="s">
        <v>52</v>
      </c>
      <c r="D146" s="8" t="s">
        <v>29</v>
      </c>
      <c r="E146" s="8" t="s">
        <v>30</v>
      </c>
      <c r="F146" s="14">
        <v>141</v>
      </c>
      <c r="G146" s="8">
        <v>7.6</v>
      </c>
      <c r="H146" s="8">
        <v>10.45</v>
      </c>
      <c r="I146" s="8">
        <v>9.1</v>
      </c>
      <c r="J146" s="8">
        <v>0</v>
      </c>
    </row>
    <row r="147" spans="1:10">
      <c r="A147" s="8">
        <v>4023</v>
      </c>
      <c r="B147" s="8" t="s">
        <v>55</v>
      </c>
      <c r="C147" s="8" t="s">
        <v>45</v>
      </c>
      <c r="D147" s="8" t="s">
        <v>29</v>
      </c>
      <c r="E147" s="8" t="s">
        <v>30</v>
      </c>
      <c r="F147" s="8">
        <v>78</v>
      </c>
      <c r="G147" s="8">
        <v>4.4000000000000004</v>
      </c>
      <c r="H147" s="8">
        <v>29.19</v>
      </c>
      <c r="I147" s="8">
        <v>7.8</v>
      </c>
      <c r="J147" s="8">
        <v>3</v>
      </c>
    </row>
    <row r="148" spans="1:10">
      <c r="A148" s="8">
        <v>4139</v>
      </c>
      <c r="B148" s="8" t="s">
        <v>34</v>
      </c>
      <c r="C148" s="8" t="s">
        <v>35</v>
      </c>
      <c r="D148" s="8" t="s">
        <v>29</v>
      </c>
      <c r="E148" s="8" t="s">
        <v>30</v>
      </c>
      <c r="F148" s="8">
        <v>246</v>
      </c>
      <c r="G148" s="8">
        <v>6.5</v>
      </c>
      <c r="H148" s="8">
        <v>106.02</v>
      </c>
      <c r="I148" s="8">
        <v>8.3000000000000007</v>
      </c>
      <c r="J148" s="8">
        <v>13</v>
      </c>
    </row>
    <row r="149" spans="1:10">
      <c r="A149" s="8">
        <v>4078</v>
      </c>
      <c r="B149" s="8" t="s">
        <v>60</v>
      </c>
      <c r="C149" s="8" t="s">
        <v>35</v>
      </c>
      <c r="D149" s="8" t="s">
        <v>29</v>
      </c>
      <c r="E149" s="8" t="s">
        <v>53</v>
      </c>
      <c r="F149" s="8">
        <v>155</v>
      </c>
      <c r="G149" s="8">
        <v>12</v>
      </c>
      <c r="H149" s="8">
        <v>62.49</v>
      </c>
      <c r="I149" s="8">
        <v>10</v>
      </c>
      <c r="J149" s="8">
        <v>9</v>
      </c>
    </row>
    <row r="150" spans="1:10">
      <c r="A150" s="8">
        <v>4324</v>
      </c>
      <c r="B150" s="8" t="s">
        <v>61</v>
      </c>
      <c r="C150" s="8" t="s">
        <v>35</v>
      </c>
      <c r="D150" s="8" t="s">
        <v>36</v>
      </c>
      <c r="E150" s="8" t="s">
        <v>53</v>
      </c>
      <c r="F150" s="8">
        <v>102</v>
      </c>
      <c r="G150" s="8">
        <v>4.2</v>
      </c>
      <c r="H150" s="8">
        <v>54.2</v>
      </c>
      <c r="I150" s="8">
        <v>8.3000000000000007</v>
      </c>
      <c r="J150" s="8">
        <v>10</v>
      </c>
    </row>
    <row r="151" spans="1:10">
      <c r="A151" s="8">
        <v>4125</v>
      </c>
      <c r="B151" s="8" t="s">
        <v>34</v>
      </c>
      <c r="C151" s="8" t="s">
        <v>45</v>
      </c>
      <c r="D151" s="8" t="s">
        <v>41</v>
      </c>
      <c r="E151" s="8" t="s">
        <v>30</v>
      </c>
      <c r="F151" s="8">
        <v>168</v>
      </c>
      <c r="G151" s="8">
        <v>12.4</v>
      </c>
      <c r="H151" s="8">
        <v>74.239999999999995</v>
      </c>
      <c r="I151" s="8">
        <v>10</v>
      </c>
      <c r="J151" s="8">
        <v>9</v>
      </c>
    </row>
    <row r="152" spans="1:10">
      <c r="A152" s="8">
        <v>4219</v>
      </c>
      <c r="B152" s="8" t="s">
        <v>55</v>
      </c>
      <c r="C152" s="8" t="s">
        <v>28</v>
      </c>
      <c r="D152" s="8" t="s">
        <v>36</v>
      </c>
      <c r="E152" s="8" t="s">
        <v>42</v>
      </c>
      <c r="F152" s="8">
        <v>94</v>
      </c>
      <c r="G152" s="8">
        <v>2.4</v>
      </c>
      <c r="H152" s="8">
        <v>23.37</v>
      </c>
      <c r="I152" s="8">
        <v>8.4</v>
      </c>
      <c r="J152" s="8">
        <v>4</v>
      </c>
    </row>
    <row r="153" spans="1:10">
      <c r="A153" s="8">
        <v>4235</v>
      </c>
      <c r="B153" s="8" t="s">
        <v>27</v>
      </c>
      <c r="C153" s="8" t="s">
        <v>28</v>
      </c>
      <c r="D153" s="8" t="s">
        <v>41</v>
      </c>
      <c r="E153" s="8" t="s">
        <v>38</v>
      </c>
      <c r="F153" s="8">
        <v>188</v>
      </c>
      <c r="G153" s="8">
        <v>11.4</v>
      </c>
      <c r="H153" s="8">
        <v>75.06</v>
      </c>
      <c r="I153" s="8">
        <v>8.8000000000000007</v>
      </c>
      <c r="J153" s="8">
        <v>8</v>
      </c>
    </row>
    <row r="154" spans="1:10">
      <c r="A154" s="8">
        <v>4239</v>
      </c>
      <c r="B154" s="8" t="s">
        <v>58</v>
      </c>
      <c r="C154" s="8" t="s">
        <v>45</v>
      </c>
      <c r="D154" s="8" t="s">
        <v>41</v>
      </c>
      <c r="E154" s="8" t="s">
        <v>30</v>
      </c>
      <c r="F154" s="8">
        <v>196</v>
      </c>
      <c r="G154" s="8">
        <v>7.3</v>
      </c>
      <c r="H154" s="8">
        <v>109.99</v>
      </c>
      <c r="I154" s="8">
        <v>8</v>
      </c>
      <c r="J154" s="8">
        <v>0</v>
      </c>
    </row>
    <row r="155" spans="1:10">
      <c r="A155" s="8">
        <v>4313</v>
      </c>
      <c r="B155" s="8" t="s">
        <v>61</v>
      </c>
      <c r="C155" s="8" t="s">
        <v>28</v>
      </c>
      <c r="D155" s="8" t="s">
        <v>29</v>
      </c>
      <c r="E155" s="8" t="s">
        <v>49</v>
      </c>
      <c r="F155" s="8">
        <v>82</v>
      </c>
      <c r="G155" s="8">
        <v>6.3</v>
      </c>
      <c r="H155" s="8">
        <v>17.97</v>
      </c>
      <c r="I155" s="8">
        <v>5.9</v>
      </c>
      <c r="J155" s="8">
        <v>7</v>
      </c>
    </row>
    <row r="156" spans="1:10">
      <c r="A156" s="8">
        <v>4090</v>
      </c>
      <c r="B156" s="8" t="s">
        <v>44</v>
      </c>
      <c r="C156" s="8" t="s">
        <v>52</v>
      </c>
      <c r="D156" s="8" t="s">
        <v>47</v>
      </c>
      <c r="E156" s="8" t="s">
        <v>53</v>
      </c>
      <c r="F156" s="8">
        <v>174</v>
      </c>
      <c r="G156" s="8">
        <v>4</v>
      </c>
      <c r="H156" s="8">
        <v>66.489999999999995</v>
      </c>
      <c r="I156" s="8">
        <v>7.7</v>
      </c>
      <c r="J156" s="8">
        <v>8</v>
      </c>
    </row>
    <row r="157" spans="1:10">
      <c r="A157" s="8">
        <v>4126</v>
      </c>
      <c r="B157" s="8" t="s">
        <v>55</v>
      </c>
      <c r="C157" s="8" t="s">
        <v>59</v>
      </c>
      <c r="D157" s="8" t="s">
        <v>47</v>
      </c>
      <c r="E157" s="8" t="s">
        <v>38</v>
      </c>
      <c r="F157" s="8">
        <v>125</v>
      </c>
      <c r="G157" s="8">
        <v>5.8</v>
      </c>
      <c r="H157" s="8">
        <v>39.6</v>
      </c>
      <c r="I157" s="8">
        <v>8.8000000000000007</v>
      </c>
      <c r="J157" s="8">
        <v>0</v>
      </c>
    </row>
    <row r="158" spans="1:10">
      <c r="A158" s="8">
        <v>4177</v>
      </c>
      <c r="B158" s="8" t="s">
        <v>58</v>
      </c>
      <c r="C158" s="8" t="s">
        <v>52</v>
      </c>
      <c r="D158" s="8" t="s">
        <v>47</v>
      </c>
      <c r="E158" s="8" t="s">
        <v>42</v>
      </c>
      <c r="F158" s="8">
        <v>38</v>
      </c>
      <c r="G158" s="8">
        <v>3.1</v>
      </c>
      <c r="H158" s="8">
        <v>8.76</v>
      </c>
      <c r="I158" s="8">
        <v>5.7</v>
      </c>
      <c r="J158" s="8">
        <v>2</v>
      </c>
    </row>
    <row r="159" spans="1:10">
      <c r="A159" s="8">
        <v>4284</v>
      </c>
      <c r="B159" s="8" t="s">
        <v>55</v>
      </c>
      <c r="C159" s="8" t="s">
        <v>59</v>
      </c>
      <c r="D159" s="8" t="s">
        <v>36</v>
      </c>
      <c r="E159" s="8" t="s">
        <v>49</v>
      </c>
      <c r="F159" s="8">
        <v>23</v>
      </c>
      <c r="G159" s="14">
        <v>4.5</v>
      </c>
      <c r="H159" s="8">
        <v>3.34</v>
      </c>
      <c r="I159" s="8">
        <v>7.3</v>
      </c>
      <c r="J159" s="8">
        <v>5</v>
      </c>
    </row>
    <row r="160" spans="1:10">
      <c r="A160" s="8">
        <v>4160</v>
      </c>
      <c r="B160" s="8" t="s">
        <v>27</v>
      </c>
      <c r="C160" s="8" t="s">
        <v>28</v>
      </c>
      <c r="D160" s="8" t="s">
        <v>41</v>
      </c>
      <c r="E160" s="8" t="s">
        <v>49</v>
      </c>
      <c r="F160" s="8">
        <v>189</v>
      </c>
      <c r="G160" s="8">
        <v>8.1999999999999993</v>
      </c>
      <c r="H160" s="8">
        <v>72.31</v>
      </c>
      <c r="I160" s="8">
        <v>8.4</v>
      </c>
      <c r="J160" s="8">
        <v>8</v>
      </c>
    </row>
    <row r="161" spans="1:10">
      <c r="A161" s="8">
        <v>4310</v>
      </c>
      <c r="B161" s="8" t="s">
        <v>34</v>
      </c>
      <c r="C161" s="8" t="s">
        <v>45</v>
      </c>
      <c r="D161" s="8" t="s">
        <v>36</v>
      </c>
      <c r="E161" s="8" t="s">
        <v>53</v>
      </c>
      <c r="F161" s="8">
        <v>108</v>
      </c>
      <c r="G161" s="8">
        <v>3.4</v>
      </c>
      <c r="H161" s="8">
        <v>57.59</v>
      </c>
      <c r="I161" s="8">
        <v>9.6</v>
      </c>
      <c r="J161" s="8">
        <v>0</v>
      </c>
    </row>
    <row r="162" spans="1:10">
      <c r="A162" s="8">
        <v>4054</v>
      </c>
      <c r="B162" s="8" t="s">
        <v>61</v>
      </c>
      <c r="C162" s="8" t="s">
        <v>28</v>
      </c>
      <c r="D162" s="8" t="s">
        <v>29</v>
      </c>
      <c r="E162" s="8" t="s">
        <v>53</v>
      </c>
      <c r="F162" s="8">
        <v>146</v>
      </c>
      <c r="G162" s="8">
        <v>8</v>
      </c>
      <c r="H162" s="8">
        <v>38.24</v>
      </c>
      <c r="I162" s="8">
        <v>7.8</v>
      </c>
      <c r="J162" s="8">
        <v>10</v>
      </c>
    </row>
    <row r="163" spans="1:10">
      <c r="A163" s="8">
        <v>4032</v>
      </c>
      <c r="B163" s="8" t="s">
        <v>55</v>
      </c>
      <c r="C163" s="8" t="s">
        <v>52</v>
      </c>
      <c r="D163" s="8" t="s">
        <v>41</v>
      </c>
      <c r="E163" s="8" t="s">
        <v>53</v>
      </c>
      <c r="F163" s="8">
        <v>53</v>
      </c>
      <c r="G163" s="8">
        <v>13.9</v>
      </c>
      <c r="H163" s="8">
        <v>28.51</v>
      </c>
      <c r="I163" s="8">
        <v>5</v>
      </c>
      <c r="J163" s="8">
        <v>4</v>
      </c>
    </row>
    <row r="164" spans="1:10">
      <c r="A164" s="8">
        <v>4091</v>
      </c>
      <c r="B164" s="8" t="s">
        <v>58</v>
      </c>
      <c r="C164" s="8" t="s">
        <v>59</v>
      </c>
      <c r="D164" s="8" t="s">
        <v>47</v>
      </c>
      <c r="E164" s="8" t="s">
        <v>38</v>
      </c>
      <c r="F164" s="8">
        <v>30</v>
      </c>
      <c r="G164" s="8">
        <v>4.4000000000000004</v>
      </c>
      <c r="H164" s="8">
        <v>15.82</v>
      </c>
      <c r="I164" s="8">
        <v>7.9</v>
      </c>
      <c r="J164" s="8">
        <v>1</v>
      </c>
    </row>
    <row r="165" spans="1:10">
      <c r="A165" s="8">
        <v>4010</v>
      </c>
      <c r="B165" s="8" t="s">
        <v>44</v>
      </c>
      <c r="C165" s="8" t="s">
        <v>28</v>
      </c>
      <c r="D165" s="8" t="s">
        <v>29</v>
      </c>
      <c r="E165" s="8" t="s">
        <v>53</v>
      </c>
      <c r="F165" s="8">
        <v>108</v>
      </c>
      <c r="G165" s="8">
        <v>9.9</v>
      </c>
      <c r="H165" s="8">
        <v>42.58</v>
      </c>
      <c r="I165" s="8">
        <v>9.4</v>
      </c>
      <c r="J165" s="8">
        <v>1</v>
      </c>
    </row>
    <row r="166" spans="1:10">
      <c r="A166" s="8">
        <v>4259</v>
      </c>
      <c r="B166" s="8" t="s">
        <v>27</v>
      </c>
      <c r="C166" s="8" t="s">
        <v>35</v>
      </c>
      <c r="D166" s="8" t="s">
        <v>41</v>
      </c>
      <c r="E166" s="8" t="s">
        <v>38</v>
      </c>
      <c r="F166" s="8">
        <v>164</v>
      </c>
      <c r="G166" s="8">
        <v>4.5999999999999996</v>
      </c>
      <c r="H166" s="8">
        <v>71.819999999999993</v>
      </c>
      <c r="I166" s="8">
        <v>8.6</v>
      </c>
      <c r="J166" s="8">
        <v>11</v>
      </c>
    </row>
    <row r="167" spans="1:10">
      <c r="A167" s="8">
        <v>4316</v>
      </c>
      <c r="B167" s="8" t="s">
        <v>58</v>
      </c>
      <c r="C167" s="8" t="s">
        <v>45</v>
      </c>
      <c r="D167" s="8" t="s">
        <v>36</v>
      </c>
      <c r="E167" s="8" t="s">
        <v>42</v>
      </c>
      <c r="F167" s="8">
        <v>140</v>
      </c>
      <c r="G167" s="8">
        <v>2.1</v>
      </c>
      <c r="H167" s="8">
        <v>65.8</v>
      </c>
      <c r="I167" s="8">
        <v>8.5</v>
      </c>
      <c r="J167" s="8">
        <v>0</v>
      </c>
    </row>
    <row r="168" spans="1:10">
      <c r="A168" s="8">
        <v>4086</v>
      </c>
      <c r="B168" s="8" t="s">
        <v>27</v>
      </c>
      <c r="C168" s="8" t="s">
        <v>52</v>
      </c>
      <c r="D168" s="8" t="s">
        <v>29</v>
      </c>
      <c r="E168" s="8" t="s">
        <v>49</v>
      </c>
      <c r="F168" s="8">
        <v>58</v>
      </c>
      <c r="G168" s="8">
        <v>7.9</v>
      </c>
      <c r="H168" s="8">
        <v>14</v>
      </c>
      <c r="I168" s="8">
        <v>7.5</v>
      </c>
      <c r="J168" s="8">
        <v>4</v>
      </c>
    </row>
    <row r="169" spans="1:10">
      <c r="A169" s="8">
        <v>4111</v>
      </c>
      <c r="B169" s="8" t="s">
        <v>58</v>
      </c>
      <c r="C169" s="8" t="s">
        <v>45</v>
      </c>
      <c r="D169" s="8" t="s">
        <v>47</v>
      </c>
      <c r="E169" s="8" t="s">
        <v>49</v>
      </c>
      <c r="F169" s="8">
        <v>224</v>
      </c>
      <c r="G169" s="8">
        <v>3.9</v>
      </c>
      <c r="H169" s="8">
        <v>70.08</v>
      </c>
      <c r="I169" s="18">
        <v>8.1</v>
      </c>
      <c r="J169" s="8">
        <v>18</v>
      </c>
    </row>
    <row r="170" spans="1:10">
      <c r="A170" s="8">
        <v>4048</v>
      </c>
      <c r="B170" s="8" t="s">
        <v>40</v>
      </c>
      <c r="C170" s="8" t="s">
        <v>45</v>
      </c>
      <c r="D170" s="8" t="s">
        <v>41</v>
      </c>
      <c r="E170" s="8" t="s">
        <v>42</v>
      </c>
      <c r="F170" s="8">
        <v>55</v>
      </c>
      <c r="G170" s="8">
        <v>12.1</v>
      </c>
      <c r="H170" s="8">
        <v>19.649999999999999</v>
      </c>
      <c r="I170" s="8">
        <v>9.5</v>
      </c>
      <c r="J170" s="8">
        <v>3</v>
      </c>
    </row>
    <row r="171" spans="1:10">
      <c r="A171" s="8">
        <v>4186</v>
      </c>
      <c r="B171" s="8" t="s">
        <v>27</v>
      </c>
      <c r="C171" s="8" t="s">
        <v>59</v>
      </c>
      <c r="D171" s="8" t="s">
        <v>47</v>
      </c>
      <c r="E171" s="8" t="s">
        <v>38</v>
      </c>
      <c r="F171" s="8">
        <v>151</v>
      </c>
      <c r="G171" s="8">
        <v>3.9</v>
      </c>
      <c r="H171" s="8">
        <v>73.31</v>
      </c>
      <c r="I171" s="8">
        <v>8.1</v>
      </c>
      <c r="J171" s="8">
        <v>4</v>
      </c>
    </row>
    <row r="172" spans="1:10">
      <c r="A172" s="8">
        <v>4051</v>
      </c>
      <c r="B172" s="8" t="s">
        <v>34</v>
      </c>
      <c r="C172" s="8" t="s">
        <v>28</v>
      </c>
      <c r="D172" s="8" t="s">
        <v>36</v>
      </c>
      <c r="E172" s="8" t="s">
        <v>38</v>
      </c>
      <c r="F172" s="8">
        <v>164</v>
      </c>
      <c r="G172" s="8">
        <v>2.4</v>
      </c>
      <c r="H172" s="8">
        <v>75.099999999999994</v>
      </c>
      <c r="I172" s="8">
        <v>9.4</v>
      </c>
      <c r="J172" s="8">
        <v>2</v>
      </c>
    </row>
    <row r="173" spans="1:10">
      <c r="A173" s="8">
        <v>4217</v>
      </c>
      <c r="B173" s="8" t="s">
        <v>55</v>
      </c>
      <c r="C173" s="8" t="s">
        <v>28</v>
      </c>
      <c r="D173" s="8" t="s">
        <v>36</v>
      </c>
      <c r="E173" s="8" t="s">
        <v>49</v>
      </c>
      <c r="F173" s="8">
        <v>165</v>
      </c>
      <c r="G173" s="8">
        <v>3.5</v>
      </c>
      <c r="H173" s="8">
        <v>63.46</v>
      </c>
      <c r="I173" s="8">
        <v>9.9</v>
      </c>
      <c r="J173" s="8">
        <v>16</v>
      </c>
    </row>
    <row r="174" spans="1:10">
      <c r="A174" s="8">
        <v>4140</v>
      </c>
      <c r="B174" s="8" t="s">
        <v>44</v>
      </c>
      <c r="C174" s="8" t="s">
        <v>28</v>
      </c>
      <c r="D174" s="8" t="s">
        <v>29</v>
      </c>
      <c r="E174" s="8" t="s">
        <v>38</v>
      </c>
      <c r="F174" s="8">
        <v>118</v>
      </c>
      <c r="G174" s="8">
        <v>12.9</v>
      </c>
      <c r="H174" s="8">
        <v>39.08</v>
      </c>
      <c r="I174" s="8">
        <v>8.5</v>
      </c>
      <c r="J174" s="8">
        <v>18</v>
      </c>
    </row>
    <row r="175" spans="1:10">
      <c r="A175" s="8">
        <v>4168</v>
      </c>
      <c r="B175" s="8" t="s">
        <v>34</v>
      </c>
      <c r="C175" s="8" t="s">
        <v>59</v>
      </c>
      <c r="D175" s="8" t="s">
        <v>29</v>
      </c>
      <c r="E175" s="8" t="s">
        <v>30</v>
      </c>
      <c r="F175" s="8">
        <v>225</v>
      </c>
      <c r="G175" s="8">
        <v>10.3</v>
      </c>
      <c r="H175" s="8">
        <v>67.900000000000006</v>
      </c>
      <c r="I175" s="8">
        <v>9.5</v>
      </c>
      <c r="J175" s="8">
        <v>13</v>
      </c>
    </row>
    <row r="176" spans="1:10">
      <c r="A176" s="8">
        <v>4326</v>
      </c>
      <c r="B176" s="8" t="s">
        <v>61</v>
      </c>
      <c r="C176" s="8" t="s">
        <v>52</v>
      </c>
      <c r="D176" s="8" t="s">
        <v>41</v>
      </c>
      <c r="E176" s="8" t="s">
        <v>53</v>
      </c>
      <c r="F176" s="8">
        <v>174</v>
      </c>
      <c r="G176" s="8">
        <v>13.2</v>
      </c>
      <c r="H176" s="8">
        <v>67.02</v>
      </c>
      <c r="I176" s="8">
        <v>9.9</v>
      </c>
      <c r="J176" s="8">
        <v>9</v>
      </c>
    </row>
    <row r="177" spans="1:10">
      <c r="A177" s="8">
        <v>4320</v>
      </c>
      <c r="B177" s="8" t="s">
        <v>60</v>
      </c>
      <c r="C177" s="8" t="s">
        <v>52</v>
      </c>
      <c r="D177" s="8" t="s">
        <v>29</v>
      </c>
      <c r="E177" s="8" t="s">
        <v>49</v>
      </c>
      <c r="F177" s="8">
        <v>270</v>
      </c>
      <c r="G177" s="8">
        <v>9.6999999999999993</v>
      </c>
      <c r="H177" s="8">
        <v>45.76</v>
      </c>
      <c r="I177" s="8">
        <v>8.4</v>
      </c>
      <c r="J177" s="8">
        <v>18</v>
      </c>
    </row>
    <row r="178" spans="1:10">
      <c r="A178" s="8">
        <v>4319</v>
      </c>
      <c r="B178" s="8" t="s">
        <v>27</v>
      </c>
      <c r="C178" s="8" t="s">
        <v>45</v>
      </c>
      <c r="D178" s="8" t="s">
        <v>41</v>
      </c>
      <c r="E178" s="8" t="s">
        <v>42</v>
      </c>
      <c r="F178" s="8">
        <v>167</v>
      </c>
      <c r="G178" s="8">
        <v>15.3</v>
      </c>
      <c r="H178" s="8">
        <v>74.290000000000006</v>
      </c>
      <c r="I178" s="8">
        <v>9.1999999999999993</v>
      </c>
      <c r="J178" s="8">
        <v>14</v>
      </c>
    </row>
    <row r="179" spans="1:10">
      <c r="A179" s="8">
        <v>4279</v>
      </c>
      <c r="B179" s="8" t="s">
        <v>40</v>
      </c>
      <c r="C179" s="8" t="s">
        <v>28</v>
      </c>
      <c r="D179" s="8" t="s">
        <v>41</v>
      </c>
      <c r="E179" s="8" t="s">
        <v>53</v>
      </c>
      <c r="F179" s="8">
        <v>44</v>
      </c>
      <c r="G179" s="8">
        <v>17</v>
      </c>
      <c r="H179" s="8">
        <v>21.32</v>
      </c>
      <c r="I179" s="8">
        <v>8.4</v>
      </c>
      <c r="J179" s="8">
        <v>4</v>
      </c>
    </row>
    <row r="180" spans="1:10">
      <c r="A180" s="8">
        <v>4317</v>
      </c>
      <c r="B180" s="8" t="s">
        <v>27</v>
      </c>
      <c r="C180" s="8" t="s">
        <v>59</v>
      </c>
      <c r="D180" s="8" t="s">
        <v>29</v>
      </c>
      <c r="E180" s="8" t="s">
        <v>42</v>
      </c>
      <c r="F180" s="8">
        <v>130</v>
      </c>
      <c r="G180" s="8">
        <v>11.4</v>
      </c>
      <c r="H180" s="8">
        <v>70.5</v>
      </c>
      <c r="I180" s="8">
        <v>8.8000000000000007</v>
      </c>
      <c r="J180" s="8">
        <v>3</v>
      </c>
    </row>
    <row r="181" spans="1:10">
      <c r="A181" s="8">
        <v>4242</v>
      </c>
      <c r="B181" s="8" t="s">
        <v>34</v>
      </c>
      <c r="C181" s="8" t="s">
        <v>45</v>
      </c>
      <c r="D181" s="8" t="s">
        <v>36</v>
      </c>
      <c r="E181" s="8" t="s">
        <v>42</v>
      </c>
      <c r="F181" s="8">
        <v>257</v>
      </c>
      <c r="G181" s="8">
        <v>3</v>
      </c>
      <c r="H181" s="8">
        <v>109.17</v>
      </c>
      <c r="I181" s="8">
        <v>8.6999999999999993</v>
      </c>
      <c r="J181" s="8">
        <v>17</v>
      </c>
    </row>
    <row r="182" spans="1:10">
      <c r="A182" s="8">
        <v>4009</v>
      </c>
      <c r="B182" s="8" t="s">
        <v>58</v>
      </c>
      <c r="C182" s="8" t="s">
        <v>52</v>
      </c>
      <c r="D182" s="8" t="s">
        <v>29</v>
      </c>
      <c r="E182" s="8" t="s">
        <v>49</v>
      </c>
      <c r="F182" s="8">
        <v>206</v>
      </c>
      <c r="G182" s="8">
        <v>7.5</v>
      </c>
      <c r="H182" s="8">
        <v>46.04</v>
      </c>
      <c r="I182" s="8">
        <v>8.1999999999999993</v>
      </c>
      <c r="J182" s="8">
        <v>12</v>
      </c>
    </row>
    <row r="183" spans="1:10">
      <c r="A183" s="8">
        <v>4101</v>
      </c>
      <c r="B183" s="8" t="s">
        <v>55</v>
      </c>
      <c r="C183" s="8" t="s">
        <v>35</v>
      </c>
      <c r="D183" s="8" t="s">
        <v>29</v>
      </c>
      <c r="E183" s="8" t="s">
        <v>42</v>
      </c>
      <c r="F183" s="8">
        <v>204</v>
      </c>
      <c r="G183" s="8">
        <v>2.4</v>
      </c>
      <c r="H183" s="8">
        <v>46.53</v>
      </c>
      <c r="I183" s="8">
        <v>9</v>
      </c>
      <c r="J183" s="8">
        <v>8</v>
      </c>
    </row>
    <row r="184" spans="1:10">
      <c r="A184" s="8">
        <v>4198</v>
      </c>
      <c r="B184" s="8" t="s">
        <v>40</v>
      </c>
      <c r="C184" s="8" t="s">
        <v>59</v>
      </c>
      <c r="D184" s="8" t="s">
        <v>36</v>
      </c>
      <c r="E184" s="8" t="s">
        <v>49</v>
      </c>
      <c r="F184" s="8">
        <v>147</v>
      </c>
      <c r="G184" s="8">
        <v>2.7</v>
      </c>
      <c r="H184" s="8">
        <v>84.65</v>
      </c>
      <c r="I184" s="8">
        <v>8.9</v>
      </c>
      <c r="J184" s="8">
        <v>11</v>
      </c>
    </row>
    <row r="185" spans="1:10">
      <c r="A185" s="8">
        <v>4171</v>
      </c>
      <c r="B185" s="8" t="s">
        <v>60</v>
      </c>
      <c r="C185" s="8" t="s">
        <v>59</v>
      </c>
      <c r="D185" s="8" t="s">
        <v>47</v>
      </c>
      <c r="E185" s="8" t="s">
        <v>38</v>
      </c>
      <c r="F185" s="8">
        <v>207</v>
      </c>
      <c r="G185" s="8">
        <v>2.5</v>
      </c>
      <c r="H185" s="8">
        <v>78.92</v>
      </c>
      <c r="I185" s="8">
        <v>8.6</v>
      </c>
      <c r="J185" s="8">
        <v>4</v>
      </c>
    </row>
    <row r="186" spans="1:10">
      <c r="A186" s="8">
        <v>4039</v>
      </c>
      <c r="B186" s="8" t="s">
        <v>34</v>
      </c>
      <c r="C186" s="8" t="s">
        <v>35</v>
      </c>
      <c r="D186" s="8" t="s">
        <v>36</v>
      </c>
      <c r="E186" s="8" t="s">
        <v>38</v>
      </c>
      <c r="F186" s="8">
        <v>198</v>
      </c>
      <c r="G186" s="8">
        <v>5.0999999999999996</v>
      </c>
      <c r="H186" s="8">
        <v>76.16</v>
      </c>
      <c r="I186" s="8">
        <v>7.9</v>
      </c>
      <c r="J186" s="8">
        <v>6</v>
      </c>
    </row>
    <row r="187" spans="1:10">
      <c r="A187" s="8">
        <v>4231</v>
      </c>
      <c r="B187" s="8" t="s">
        <v>61</v>
      </c>
      <c r="C187" s="8" t="s">
        <v>35</v>
      </c>
      <c r="D187" s="8" t="s">
        <v>47</v>
      </c>
      <c r="E187" s="8" t="s">
        <v>49</v>
      </c>
      <c r="F187" s="8">
        <v>57</v>
      </c>
      <c r="G187" s="8">
        <v>1.9</v>
      </c>
      <c r="H187" s="8">
        <v>33.17</v>
      </c>
      <c r="I187" s="8">
        <v>8.3000000000000007</v>
      </c>
      <c r="J187" s="8">
        <v>2</v>
      </c>
    </row>
    <row r="188" spans="1:10">
      <c r="A188" s="8">
        <v>4270</v>
      </c>
      <c r="B188" s="8" t="s">
        <v>34</v>
      </c>
      <c r="C188" s="8" t="s">
        <v>28</v>
      </c>
      <c r="D188" s="8" t="s">
        <v>47</v>
      </c>
      <c r="E188" s="8" t="s">
        <v>53</v>
      </c>
      <c r="F188" s="8">
        <v>116</v>
      </c>
      <c r="G188" s="8">
        <v>5.2</v>
      </c>
      <c r="H188" s="8">
        <v>45.35</v>
      </c>
      <c r="I188" s="8">
        <v>9.3000000000000007</v>
      </c>
      <c r="J188" s="8">
        <v>0</v>
      </c>
    </row>
    <row r="189" spans="1:10">
      <c r="A189" s="8">
        <v>4084</v>
      </c>
      <c r="B189" s="8" t="s">
        <v>60</v>
      </c>
      <c r="C189" s="8" t="s">
        <v>45</v>
      </c>
      <c r="D189" s="8" t="s">
        <v>47</v>
      </c>
      <c r="E189" s="8" t="s">
        <v>38</v>
      </c>
      <c r="F189" s="8">
        <v>184</v>
      </c>
      <c r="G189" s="8">
        <v>4.3</v>
      </c>
      <c r="H189" s="8">
        <v>78.150000000000006</v>
      </c>
      <c r="I189" s="8">
        <v>6.3</v>
      </c>
      <c r="J189" s="8">
        <v>12</v>
      </c>
    </row>
    <row r="190" spans="1:10">
      <c r="A190" s="8">
        <v>4067</v>
      </c>
      <c r="B190" s="8" t="s">
        <v>61</v>
      </c>
      <c r="C190" s="8" t="s">
        <v>45</v>
      </c>
      <c r="D190" s="8" t="s">
        <v>36</v>
      </c>
      <c r="E190" s="8" t="s">
        <v>30</v>
      </c>
      <c r="F190" s="8">
        <v>111</v>
      </c>
      <c r="G190" s="8">
        <v>1.9</v>
      </c>
      <c r="H190" s="8">
        <v>53.02</v>
      </c>
      <c r="I190" s="8">
        <v>7.6</v>
      </c>
      <c r="J190" s="8">
        <v>9</v>
      </c>
    </row>
    <row r="191" spans="1:10">
      <c r="A191" s="8">
        <v>4080</v>
      </c>
      <c r="B191" s="8" t="s">
        <v>60</v>
      </c>
      <c r="C191" s="8" t="s">
        <v>59</v>
      </c>
      <c r="D191" s="8" t="s">
        <v>36</v>
      </c>
      <c r="E191" s="8" t="s">
        <v>38</v>
      </c>
      <c r="F191" s="8">
        <v>171</v>
      </c>
      <c r="G191" s="8">
        <v>1.5</v>
      </c>
      <c r="H191" s="8">
        <v>44.14</v>
      </c>
      <c r="I191" s="8">
        <v>8.6999999999999993</v>
      </c>
      <c r="J191" s="8">
        <v>9</v>
      </c>
    </row>
    <row r="192" spans="1:10">
      <c r="A192" s="8">
        <v>4207</v>
      </c>
      <c r="B192" s="8" t="s">
        <v>27</v>
      </c>
      <c r="C192" s="8" t="s">
        <v>28</v>
      </c>
      <c r="D192" s="8" t="s">
        <v>47</v>
      </c>
      <c r="E192" s="8" t="s">
        <v>49</v>
      </c>
      <c r="F192" s="8">
        <v>5</v>
      </c>
      <c r="G192" s="8">
        <v>3.6</v>
      </c>
      <c r="H192" s="8">
        <v>2.64</v>
      </c>
      <c r="I192" s="8">
        <v>9</v>
      </c>
      <c r="J192" s="8">
        <v>0</v>
      </c>
    </row>
    <row r="193" spans="1:10">
      <c r="A193" s="8">
        <v>4236</v>
      </c>
      <c r="B193" s="8" t="s">
        <v>34</v>
      </c>
      <c r="C193" s="8" t="s">
        <v>59</v>
      </c>
      <c r="D193" s="8" t="s">
        <v>29</v>
      </c>
      <c r="E193" s="8" t="s">
        <v>49</v>
      </c>
      <c r="F193" s="8">
        <v>180</v>
      </c>
      <c r="G193" s="8">
        <v>4.2</v>
      </c>
      <c r="H193" s="14">
        <v>46.37</v>
      </c>
      <c r="I193" s="8">
        <v>7.4</v>
      </c>
      <c r="J193" s="8">
        <v>14</v>
      </c>
    </row>
    <row r="194" spans="1:10">
      <c r="A194" s="8">
        <v>4243</v>
      </c>
      <c r="B194" s="8" t="s">
        <v>40</v>
      </c>
      <c r="C194" s="8" t="s">
        <v>52</v>
      </c>
      <c r="D194" s="8" t="s">
        <v>36</v>
      </c>
      <c r="E194" s="8" t="s">
        <v>53</v>
      </c>
      <c r="F194" s="8">
        <v>177</v>
      </c>
      <c r="G194" s="8">
        <v>2.1</v>
      </c>
      <c r="H194" s="8">
        <v>64.13</v>
      </c>
      <c r="I194" s="8">
        <v>6.6</v>
      </c>
      <c r="J194" s="8">
        <v>12</v>
      </c>
    </row>
    <row r="195" spans="1:10">
      <c r="A195" s="8">
        <v>4211</v>
      </c>
      <c r="B195" s="8" t="s">
        <v>55</v>
      </c>
      <c r="C195" s="8" t="s">
        <v>59</v>
      </c>
      <c r="D195" s="8" t="s">
        <v>47</v>
      </c>
      <c r="E195" s="8" t="s">
        <v>42</v>
      </c>
      <c r="F195" s="8">
        <v>270</v>
      </c>
      <c r="G195" s="8">
        <v>3.1</v>
      </c>
      <c r="H195" s="8">
        <v>143.61000000000001</v>
      </c>
      <c r="I195" s="8">
        <v>8.6999999999999993</v>
      </c>
      <c r="J195" s="8">
        <v>20</v>
      </c>
    </row>
    <row r="196" spans="1:10">
      <c r="A196" s="8">
        <v>4082</v>
      </c>
      <c r="B196" s="8" t="s">
        <v>60</v>
      </c>
      <c r="C196" s="8" t="s">
        <v>28</v>
      </c>
      <c r="D196" s="8" t="s">
        <v>41</v>
      </c>
      <c r="E196" s="8" t="s">
        <v>53</v>
      </c>
      <c r="F196" s="8">
        <v>236</v>
      </c>
      <c r="G196" s="8">
        <v>13</v>
      </c>
      <c r="H196" s="8">
        <v>41.64</v>
      </c>
      <c r="I196" s="8">
        <v>8.6999999999999993</v>
      </c>
      <c r="J196" s="8">
        <v>12</v>
      </c>
    </row>
    <row r="197" spans="1:10">
      <c r="A197" s="8">
        <v>4311</v>
      </c>
      <c r="B197" s="8" t="s">
        <v>44</v>
      </c>
      <c r="C197" s="8" t="s">
        <v>59</v>
      </c>
      <c r="D197" s="8" t="s">
        <v>36</v>
      </c>
      <c r="E197" s="8" t="s">
        <v>30</v>
      </c>
      <c r="F197" s="8">
        <v>187</v>
      </c>
      <c r="G197" s="8">
        <v>3.1</v>
      </c>
      <c r="H197" s="8">
        <v>100.85</v>
      </c>
      <c r="I197" s="8">
        <v>8.3000000000000007</v>
      </c>
      <c r="J197" s="8">
        <v>13</v>
      </c>
    </row>
    <row r="198" spans="1:10">
      <c r="A198" s="8">
        <v>4060</v>
      </c>
      <c r="B198" s="8" t="s">
        <v>60</v>
      </c>
      <c r="C198" s="8" t="s">
        <v>52</v>
      </c>
      <c r="D198" s="8" t="s">
        <v>47</v>
      </c>
      <c r="E198" s="8" t="s">
        <v>38</v>
      </c>
      <c r="F198" s="8">
        <v>94</v>
      </c>
      <c r="G198" s="8">
        <v>4.5999999999999996</v>
      </c>
      <c r="H198" s="8">
        <v>45.74</v>
      </c>
      <c r="I198" s="8">
        <v>8</v>
      </c>
      <c r="J198" s="8">
        <v>8</v>
      </c>
    </row>
    <row r="199" spans="1:10">
      <c r="A199" s="8">
        <v>4296</v>
      </c>
      <c r="B199" s="8" t="s">
        <v>55</v>
      </c>
      <c r="C199" s="8" t="s">
        <v>45</v>
      </c>
      <c r="D199" s="8" t="s">
        <v>36</v>
      </c>
      <c r="E199" s="8" t="s">
        <v>30</v>
      </c>
      <c r="F199" s="8">
        <v>215</v>
      </c>
      <c r="G199" s="8">
        <v>3</v>
      </c>
      <c r="H199" s="8">
        <v>89.58</v>
      </c>
      <c r="I199" s="8">
        <v>8.1</v>
      </c>
      <c r="J199" s="8">
        <v>6</v>
      </c>
    </row>
    <row r="200" spans="1:10">
      <c r="A200" s="8">
        <v>4264</v>
      </c>
      <c r="B200" s="8" t="s">
        <v>55</v>
      </c>
      <c r="C200" s="8" t="s">
        <v>35</v>
      </c>
      <c r="D200" s="8" t="s">
        <v>29</v>
      </c>
      <c r="E200" s="8" t="s">
        <v>49</v>
      </c>
      <c r="F200" s="8">
        <v>173</v>
      </c>
      <c r="G200" s="8">
        <v>12.4</v>
      </c>
      <c r="H200" s="8">
        <v>72.92</v>
      </c>
      <c r="I200" s="8">
        <v>7</v>
      </c>
      <c r="J200" s="8">
        <v>8</v>
      </c>
    </row>
    <row r="201" spans="1:10">
      <c r="A201" s="8">
        <v>4115</v>
      </c>
      <c r="B201" s="8" t="s">
        <v>40</v>
      </c>
      <c r="C201" s="8" t="s">
        <v>45</v>
      </c>
      <c r="D201" s="8" t="s">
        <v>36</v>
      </c>
      <c r="E201" s="8" t="s">
        <v>42</v>
      </c>
      <c r="F201" s="8">
        <v>178</v>
      </c>
      <c r="G201" s="8">
        <v>3.7</v>
      </c>
      <c r="H201" s="8">
        <v>86.15</v>
      </c>
      <c r="I201" s="8">
        <v>8.1</v>
      </c>
      <c r="J201" s="8">
        <v>12</v>
      </c>
    </row>
    <row r="202" spans="1:10">
      <c r="A202" s="8">
        <v>4302</v>
      </c>
      <c r="B202" s="8" t="s">
        <v>40</v>
      </c>
      <c r="C202" s="8" t="s">
        <v>28</v>
      </c>
      <c r="D202" s="8" t="s">
        <v>29</v>
      </c>
      <c r="E202" s="8" t="s">
        <v>30</v>
      </c>
      <c r="F202" s="8">
        <v>124</v>
      </c>
      <c r="G202" s="8">
        <v>7.6</v>
      </c>
      <c r="H202" s="8">
        <v>53.98</v>
      </c>
      <c r="I202" s="8">
        <v>8</v>
      </c>
      <c r="J202" s="8">
        <v>11</v>
      </c>
    </row>
    <row r="203" spans="1:10">
      <c r="A203" s="8">
        <v>4011</v>
      </c>
      <c r="B203" s="8" t="s">
        <v>61</v>
      </c>
      <c r="C203" s="8" t="s">
        <v>28</v>
      </c>
      <c r="D203" s="8" t="s">
        <v>36</v>
      </c>
      <c r="E203" s="8" t="s">
        <v>53</v>
      </c>
      <c r="F203" s="8">
        <v>173</v>
      </c>
      <c r="G203" s="8">
        <v>2.8</v>
      </c>
      <c r="H203" s="8">
        <v>38.56</v>
      </c>
      <c r="I203" s="8">
        <v>8.6999999999999993</v>
      </c>
      <c r="J203" s="8">
        <v>5</v>
      </c>
    </row>
    <row r="204" spans="1:10">
      <c r="A204" s="8">
        <v>4274</v>
      </c>
      <c r="B204" s="8" t="s">
        <v>60</v>
      </c>
      <c r="C204" s="8" t="s">
        <v>52</v>
      </c>
      <c r="D204" s="8" t="s">
        <v>47</v>
      </c>
      <c r="E204" s="8" t="s">
        <v>30</v>
      </c>
      <c r="F204" s="8">
        <v>47</v>
      </c>
      <c r="G204" s="8">
        <v>2.2999999999999998</v>
      </c>
      <c r="H204" s="8">
        <v>30.73</v>
      </c>
      <c r="I204" s="8">
        <v>7.9</v>
      </c>
      <c r="J204" s="8">
        <v>1</v>
      </c>
    </row>
    <row r="205" spans="1:10">
      <c r="A205" s="8">
        <v>4179</v>
      </c>
      <c r="B205" s="8" t="s">
        <v>27</v>
      </c>
      <c r="C205" s="8" t="s">
        <v>59</v>
      </c>
      <c r="D205" s="8" t="s">
        <v>41</v>
      </c>
      <c r="E205" s="8" t="s">
        <v>53</v>
      </c>
      <c r="F205" s="8">
        <v>27</v>
      </c>
      <c r="G205" s="8">
        <v>7.9</v>
      </c>
      <c r="H205" s="8">
        <v>7.97</v>
      </c>
      <c r="I205" s="8">
        <v>7.8</v>
      </c>
      <c r="J205" s="8">
        <v>0</v>
      </c>
    </row>
    <row r="206" spans="1:10">
      <c r="A206" s="8">
        <v>4015</v>
      </c>
      <c r="B206" s="8" t="s">
        <v>44</v>
      </c>
      <c r="C206" s="8" t="s">
        <v>45</v>
      </c>
      <c r="D206" s="8" t="s">
        <v>29</v>
      </c>
      <c r="E206" s="8" t="s">
        <v>30</v>
      </c>
      <c r="F206" s="8">
        <v>40</v>
      </c>
      <c r="G206" s="8">
        <v>1.4</v>
      </c>
      <c r="H206" s="8">
        <v>13.19</v>
      </c>
      <c r="I206" s="8">
        <v>8.1</v>
      </c>
      <c r="J206" s="8">
        <v>0</v>
      </c>
    </row>
    <row r="207" spans="1:10">
      <c r="A207" s="8">
        <v>4040</v>
      </c>
      <c r="B207" s="8" t="s">
        <v>61</v>
      </c>
      <c r="C207" s="8" t="s">
        <v>52</v>
      </c>
      <c r="D207" s="8" t="s">
        <v>47</v>
      </c>
      <c r="E207" s="8" t="s">
        <v>49</v>
      </c>
      <c r="F207" s="8">
        <v>169</v>
      </c>
      <c r="G207" s="8">
        <v>4.3</v>
      </c>
      <c r="H207" s="8">
        <v>59.75</v>
      </c>
      <c r="I207" s="8">
        <v>9.1999999999999993</v>
      </c>
      <c r="J207" s="14">
        <v>8</v>
      </c>
    </row>
    <row r="208" spans="1:10">
      <c r="A208" s="8">
        <v>4109</v>
      </c>
      <c r="B208" s="8" t="s">
        <v>55</v>
      </c>
      <c r="C208" s="8" t="s">
        <v>52</v>
      </c>
      <c r="D208" s="8" t="s">
        <v>29</v>
      </c>
      <c r="E208" s="8" t="s">
        <v>30</v>
      </c>
      <c r="F208" s="8">
        <v>70</v>
      </c>
      <c r="G208" s="8">
        <v>4.7</v>
      </c>
      <c r="H208" s="8">
        <v>14.83</v>
      </c>
      <c r="I208" s="8">
        <v>8.5</v>
      </c>
      <c r="J208" s="8">
        <v>0</v>
      </c>
    </row>
    <row r="209" spans="1:10">
      <c r="A209" s="8">
        <v>4176</v>
      </c>
      <c r="B209" s="8" t="s">
        <v>60</v>
      </c>
      <c r="C209" s="8" t="s">
        <v>52</v>
      </c>
      <c r="D209" s="8" t="s">
        <v>41</v>
      </c>
      <c r="E209" s="8" t="s">
        <v>42</v>
      </c>
      <c r="F209" s="8">
        <v>25</v>
      </c>
      <c r="G209" s="8">
        <v>18.600000000000001</v>
      </c>
      <c r="H209" s="8">
        <v>22.58</v>
      </c>
      <c r="I209" s="8">
        <v>6.3</v>
      </c>
      <c r="J209" s="8">
        <v>0</v>
      </c>
    </row>
    <row r="210" spans="1:10">
      <c r="A210" s="8">
        <v>4114</v>
      </c>
      <c r="B210" s="8" t="s">
        <v>58</v>
      </c>
      <c r="C210" s="8" t="s">
        <v>35</v>
      </c>
      <c r="D210" s="8" t="s">
        <v>47</v>
      </c>
      <c r="E210" s="8" t="s">
        <v>38</v>
      </c>
      <c r="F210" s="8">
        <v>154</v>
      </c>
      <c r="G210" s="8">
        <v>5.8</v>
      </c>
      <c r="H210" s="8">
        <v>43.98</v>
      </c>
      <c r="I210" s="8">
        <v>6.8</v>
      </c>
      <c r="J210" s="14">
        <v>8</v>
      </c>
    </row>
    <row r="211" spans="1:10">
      <c r="A211" s="8">
        <v>4181</v>
      </c>
      <c r="B211" s="8" t="s">
        <v>60</v>
      </c>
      <c r="C211" s="8" t="s">
        <v>28</v>
      </c>
      <c r="D211" s="8" t="s">
        <v>36</v>
      </c>
      <c r="E211" s="8" t="s">
        <v>38</v>
      </c>
      <c r="F211" s="8">
        <v>93</v>
      </c>
      <c r="G211" s="8">
        <v>3.8</v>
      </c>
      <c r="H211" s="8">
        <v>16.489999999999998</v>
      </c>
      <c r="I211" s="8">
        <v>8.1999999999999993</v>
      </c>
      <c r="J211" s="8">
        <v>4</v>
      </c>
    </row>
    <row r="212" spans="1:10">
      <c r="A212" s="8">
        <v>4066</v>
      </c>
      <c r="B212" s="8" t="s">
        <v>44</v>
      </c>
      <c r="C212" s="8" t="s">
        <v>59</v>
      </c>
      <c r="D212" s="8" t="s">
        <v>29</v>
      </c>
      <c r="E212" s="8" t="s">
        <v>53</v>
      </c>
      <c r="F212" s="8">
        <v>220</v>
      </c>
      <c r="G212" s="8">
        <v>3.9</v>
      </c>
      <c r="H212" s="8">
        <v>69.3</v>
      </c>
      <c r="I212" s="8">
        <v>7.8</v>
      </c>
      <c r="J212" s="8">
        <v>14</v>
      </c>
    </row>
    <row r="213" spans="1:10">
      <c r="A213" s="8">
        <v>4169</v>
      </c>
      <c r="B213" s="8" t="s">
        <v>34</v>
      </c>
      <c r="C213" s="8" t="s">
        <v>35</v>
      </c>
      <c r="D213" s="8" t="s">
        <v>47</v>
      </c>
      <c r="E213" s="8" t="s">
        <v>30</v>
      </c>
      <c r="F213" s="8">
        <v>92</v>
      </c>
      <c r="G213" s="8">
        <v>4.2</v>
      </c>
      <c r="H213" s="8">
        <v>26.87</v>
      </c>
      <c r="I213" s="8">
        <v>8.5</v>
      </c>
      <c r="J213" s="8">
        <v>8</v>
      </c>
    </row>
    <row r="214" spans="1:10">
      <c r="A214" s="8">
        <v>4058</v>
      </c>
      <c r="B214" s="8" t="s">
        <v>55</v>
      </c>
      <c r="C214" s="8" t="s">
        <v>28</v>
      </c>
      <c r="D214" s="8" t="s">
        <v>36</v>
      </c>
      <c r="E214" s="8" t="s">
        <v>53</v>
      </c>
      <c r="F214" s="8">
        <v>84</v>
      </c>
      <c r="G214" s="8">
        <v>2.2000000000000002</v>
      </c>
      <c r="H214" s="8">
        <v>21.42</v>
      </c>
      <c r="I214" s="8">
        <v>8</v>
      </c>
      <c r="J214" s="8">
        <v>0</v>
      </c>
    </row>
    <row r="215" spans="1:10">
      <c r="A215" s="8">
        <v>4288</v>
      </c>
      <c r="B215" s="8" t="s">
        <v>34</v>
      </c>
      <c r="C215" s="8" t="s">
        <v>45</v>
      </c>
      <c r="D215" s="8" t="s">
        <v>41</v>
      </c>
      <c r="E215" s="8" t="s">
        <v>49</v>
      </c>
      <c r="F215" s="8">
        <v>253</v>
      </c>
      <c r="G215" s="8">
        <v>1.6</v>
      </c>
      <c r="H215" s="8">
        <v>66.91</v>
      </c>
      <c r="I215" s="8">
        <v>8.1999999999999993</v>
      </c>
      <c r="J215" s="8">
        <v>11</v>
      </c>
    </row>
    <row r="216" spans="1:10">
      <c r="A216" s="8">
        <v>4255</v>
      </c>
      <c r="B216" s="8" t="s">
        <v>44</v>
      </c>
      <c r="C216" s="8" t="s">
        <v>59</v>
      </c>
      <c r="D216" s="8" t="s">
        <v>36</v>
      </c>
      <c r="E216" s="8" t="s">
        <v>38</v>
      </c>
      <c r="F216" s="8">
        <v>113</v>
      </c>
      <c r="G216" s="8">
        <v>3.5</v>
      </c>
      <c r="H216" s="18">
        <v>46.37</v>
      </c>
      <c r="I216" s="8">
        <v>8.6999999999999993</v>
      </c>
      <c r="J216" s="8">
        <v>5</v>
      </c>
    </row>
    <row r="217" spans="1:10">
      <c r="A217" s="8">
        <v>4024</v>
      </c>
      <c r="B217" s="8" t="s">
        <v>34</v>
      </c>
      <c r="C217" s="8" t="s">
        <v>45</v>
      </c>
      <c r="D217" s="8" t="s">
        <v>41</v>
      </c>
      <c r="E217" s="8" t="s">
        <v>53</v>
      </c>
      <c r="F217" s="8">
        <v>136</v>
      </c>
      <c r="G217" s="8">
        <v>14.6</v>
      </c>
      <c r="H217" s="8">
        <v>67.66</v>
      </c>
      <c r="I217" s="8">
        <v>8.6999999999999993</v>
      </c>
      <c r="J217" s="8">
        <v>8</v>
      </c>
    </row>
    <row r="218" spans="1:10">
      <c r="A218" s="8">
        <v>4201</v>
      </c>
      <c r="B218" s="8" t="s">
        <v>40</v>
      </c>
      <c r="C218" s="8" t="s">
        <v>45</v>
      </c>
      <c r="D218" s="8" t="s">
        <v>47</v>
      </c>
      <c r="E218" s="8" t="s">
        <v>49</v>
      </c>
      <c r="F218" s="8">
        <v>243</v>
      </c>
      <c r="G218" s="8">
        <v>1.3</v>
      </c>
      <c r="H218" s="8">
        <v>78.42</v>
      </c>
      <c r="I218" s="8">
        <v>7.9</v>
      </c>
      <c r="J218" s="8">
        <v>13</v>
      </c>
    </row>
    <row r="219" spans="1:10">
      <c r="A219" s="8">
        <v>4052</v>
      </c>
      <c r="B219" s="8" t="s">
        <v>34</v>
      </c>
      <c r="C219" s="8" t="s">
        <v>28</v>
      </c>
      <c r="D219" s="8" t="s">
        <v>36</v>
      </c>
      <c r="E219" s="8" t="s">
        <v>38</v>
      </c>
      <c r="F219" s="8">
        <v>168</v>
      </c>
      <c r="G219" s="8">
        <v>1.9</v>
      </c>
      <c r="H219" s="8">
        <v>25.6</v>
      </c>
      <c r="I219" s="8">
        <v>8.5</v>
      </c>
      <c r="J219" s="8">
        <v>12</v>
      </c>
    </row>
    <row r="220" spans="1:10">
      <c r="A220" s="8">
        <v>4025</v>
      </c>
      <c r="B220" s="8" t="s">
        <v>44</v>
      </c>
      <c r="C220" s="8" t="s">
        <v>45</v>
      </c>
      <c r="D220" s="8" t="s">
        <v>36</v>
      </c>
      <c r="E220" s="8" t="s">
        <v>49</v>
      </c>
      <c r="F220" s="8">
        <v>30</v>
      </c>
      <c r="G220" s="8">
        <v>2.5</v>
      </c>
      <c r="H220" s="8">
        <v>4.5599999999999996</v>
      </c>
      <c r="I220" s="8">
        <v>5.9</v>
      </c>
      <c r="J220" s="8">
        <v>0</v>
      </c>
    </row>
    <row r="221" spans="1:10">
      <c r="A221" s="8">
        <v>4120</v>
      </c>
      <c r="B221" s="8" t="s">
        <v>40</v>
      </c>
      <c r="C221" s="8" t="s">
        <v>28</v>
      </c>
      <c r="D221" s="8" t="s">
        <v>47</v>
      </c>
      <c r="E221" s="8" t="s">
        <v>53</v>
      </c>
      <c r="F221" s="8">
        <v>133</v>
      </c>
      <c r="G221" s="8">
        <v>6.3</v>
      </c>
      <c r="H221" s="8">
        <v>48.9</v>
      </c>
      <c r="I221" s="8">
        <v>7.7</v>
      </c>
      <c r="J221" s="8">
        <v>6</v>
      </c>
    </row>
    <row r="222" spans="1:10">
      <c r="A222" s="8">
        <v>4322</v>
      </c>
      <c r="B222" s="8" t="s">
        <v>58</v>
      </c>
      <c r="C222" s="8" t="s">
        <v>35</v>
      </c>
      <c r="D222" s="8" t="s">
        <v>41</v>
      </c>
      <c r="E222" s="8" t="s">
        <v>38</v>
      </c>
      <c r="F222" s="8">
        <v>78</v>
      </c>
      <c r="G222" s="8">
        <v>10.4</v>
      </c>
      <c r="H222" s="8">
        <v>23.62</v>
      </c>
      <c r="I222" s="8">
        <v>8.1</v>
      </c>
      <c r="J222" s="8">
        <v>8</v>
      </c>
    </row>
    <row r="223" spans="1:10">
      <c r="A223" s="8">
        <v>4133</v>
      </c>
      <c r="B223" s="8" t="s">
        <v>58</v>
      </c>
      <c r="C223" s="8" t="s">
        <v>35</v>
      </c>
      <c r="D223" s="8" t="s">
        <v>47</v>
      </c>
      <c r="E223" s="8" t="s">
        <v>38</v>
      </c>
      <c r="F223" s="8">
        <v>5</v>
      </c>
      <c r="G223" s="8">
        <v>4.3</v>
      </c>
      <c r="H223" s="8">
        <v>5.39</v>
      </c>
      <c r="I223" s="8">
        <v>8.5</v>
      </c>
      <c r="J223" s="8">
        <v>7</v>
      </c>
    </row>
    <row r="224" spans="1:10">
      <c r="A224" s="8">
        <v>4053</v>
      </c>
      <c r="B224" s="8" t="s">
        <v>61</v>
      </c>
      <c r="C224" s="8" t="s">
        <v>45</v>
      </c>
      <c r="D224" s="8" t="s">
        <v>41</v>
      </c>
      <c r="E224" s="8" t="s">
        <v>38</v>
      </c>
      <c r="F224" s="8">
        <v>71</v>
      </c>
      <c r="G224" s="18">
        <v>4.5</v>
      </c>
      <c r="H224" s="8">
        <v>41.11</v>
      </c>
      <c r="I224" s="8">
        <v>8.4</v>
      </c>
      <c r="J224" s="8">
        <v>0</v>
      </c>
    </row>
    <row r="225" spans="1:10">
      <c r="A225" s="8">
        <v>4184</v>
      </c>
      <c r="B225" s="8" t="s">
        <v>58</v>
      </c>
      <c r="C225" s="8" t="s">
        <v>28</v>
      </c>
      <c r="D225" s="8" t="s">
        <v>47</v>
      </c>
      <c r="E225" s="8" t="s">
        <v>42</v>
      </c>
      <c r="F225" s="8">
        <v>152</v>
      </c>
      <c r="G225" s="8">
        <v>1.8</v>
      </c>
      <c r="H225" s="8">
        <v>57.05</v>
      </c>
      <c r="I225" s="8">
        <v>8.6999999999999993</v>
      </c>
      <c r="J225" s="8">
        <v>10</v>
      </c>
    </row>
    <row r="226" spans="1:10">
      <c r="A226" s="8">
        <v>4200</v>
      </c>
      <c r="B226" s="8" t="s">
        <v>58</v>
      </c>
      <c r="C226" s="8" t="s">
        <v>45</v>
      </c>
      <c r="D226" s="8" t="s">
        <v>47</v>
      </c>
      <c r="E226" s="8" t="s">
        <v>38</v>
      </c>
      <c r="F226" s="8">
        <v>136</v>
      </c>
      <c r="G226" s="8">
        <v>3.3</v>
      </c>
      <c r="H226" s="8">
        <v>68.489999999999995</v>
      </c>
      <c r="I226" s="8">
        <v>9.5</v>
      </c>
      <c r="J226" s="8">
        <v>4</v>
      </c>
    </row>
    <row r="227" spans="1:10">
      <c r="A227" s="8">
        <v>4038</v>
      </c>
      <c r="B227" s="8" t="s">
        <v>58</v>
      </c>
      <c r="C227" s="8" t="s">
        <v>59</v>
      </c>
      <c r="D227" s="8" t="s">
        <v>36</v>
      </c>
      <c r="E227" s="8" t="s">
        <v>42</v>
      </c>
      <c r="F227" s="8">
        <v>188</v>
      </c>
      <c r="G227" s="8">
        <v>1.1000000000000001</v>
      </c>
      <c r="H227" s="8">
        <v>80.44</v>
      </c>
      <c r="I227" s="8">
        <v>9.5</v>
      </c>
      <c r="J227" s="8">
        <v>12</v>
      </c>
    </row>
    <row r="228" spans="1:10">
      <c r="A228" s="8">
        <v>4041</v>
      </c>
      <c r="B228" s="8" t="s">
        <v>44</v>
      </c>
      <c r="C228" s="8" t="s">
        <v>28</v>
      </c>
      <c r="D228" s="8" t="s">
        <v>47</v>
      </c>
      <c r="E228" s="8" t="s">
        <v>53</v>
      </c>
      <c r="F228" s="8">
        <v>98</v>
      </c>
      <c r="G228" s="8">
        <v>2.4</v>
      </c>
      <c r="H228" s="8">
        <v>53.75</v>
      </c>
      <c r="I228" s="8">
        <v>7.8</v>
      </c>
      <c r="J228" s="8">
        <v>6</v>
      </c>
    </row>
    <row r="229" spans="1:10">
      <c r="A229" s="8">
        <v>4215</v>
      </c>
      <c r="B229" s="8" t="s">
        <v>27</v>
      </c>
      <c r="C229" s="8" t="s">
        <v>28</v>
      </c>
      <c r="D229" s="8" t="s">
        <v>36</v>
      </c>
      <c r="E229" s="8" t="s">
        <v>49</v>
      </c>
      <c r="F229" s="8">
        <v>170</v>
      </c>
      <c r="G229" s="8">
        <v>2.5</v>
      </c>
      <c r="H229" s="8">
        <v>35.64</v>
      </c>
      <c r="I229" s="8">
        <v>8.1999999999999993</v>
      </c>
      <c r="J229" s="8">
        <v>7</v>
      </c>
    </row>
    <row r="230" spans="1:10">
      <c r="A230" s="8">
        <v>4137</v>
      </c>
      <c r="B230" s="8" t="s">
        <v>44</v>
      </c>
      <c r="C230" s="8" t="s">
        <v>45</v>
      </c>
      <c r="D230" s="8" t="s">
        <v>41</v>
      </c>
      <c r="E230" s="8" t="s">
        <v>49</v>
      </c>
      <c r="F230" s="8">
        <v>110</v>
      </c>
      <c r="G230" s="8">
        <v>17.899999999999999</v>
      </c>
      <c r="H230" s="8">
        <v>55.26</v>
      </c>
      <c r="I230" s="8">
        <v>8.5</v>
      </c>
      <c r="J230" s="8">
        <v>6</v>
      </c>
    </row>
    <row r="231" spans="1:10">
      <c r="A231" s="8">
        <v>4055</v>
      </c>
      <c r="B231" s="8" t="s">
        <v>58</v>
      </c>
      <c r="C231" s="8" t="s">
        <v>59</v>
      </c>
      <c r="D231" s="8" t="s">
        <v>36</v>
      </c>
      <c r="E231" s="8" t="s">
        <v>53</v>
      </c>
      <c r="F231" s="8">
        <v>203</v>
      </c>
      <c r="G231" s="8">
        <v>3.5</v>
      </c>
      <c r="H231" s="8">
        <v>116.15</v>
      </c>
      <c r="I231" s="8">
        <v>8</v>
      </c>
      <c r="J231" s="8">
        <v>20</v>
      </c>
    </row>
    <row r="232" spans="1:10">
      <c r="A232" s="8">
        <v>4206</v>
      </c>
      <c r="B232" s="8" t="s">
        <v>60</v>
      </c>
      <c r="C232" s="8" t="s">
        <v>28</v>
      </c>
      <c r="D232" s="8" t="s">
        <v>47</v>
      </c>
      <c r="E232" s="8" t="s">
        <v>49</v>
      </c>
      <c r="F232" s="13">
        <v>141</v>
      </c>
      <c r="G232" s="8">
        <v>3.4</v>
      </c>
      <c r="H232" s="8">
        <v>21.33</v>
      </c>
      <c r="I232" s="8">
        <v>5.4</v>
      </c>
      <c r="J232" s="8">
        <v>8</v>
      </c>
    </row>
    <row r="233" spans="1:10">
      <c r="A233" s="8">
        <v>4076</v>
      </c>
      <c r="B233" s="8" t="s">
        <v>44</v>
      </c>
      <c r="C233" s="8" t="s">
        <v>35</v>
      </c>
      <c r="D233" s="8" t="s">
        <v>29</v>
      </c>
      <c r="E233" s="8" t="s">
        <v>30</v>
      </c>
      <c r="F233" s="8">
        <v>237</v>
      </c>
      <c r="G233" s="8">
        <v>6.4</v>
      </c>
      <c r="H233" s="8">
        <v>56.33</v>
      </c>
      <c r="I233" s="8">
        <v>7</v>
      </c>
      <c r="J233" s="8">
        <v>10</v>
      </c>
    </row>
    <row r="234" spans="1:10">
      <c r="A234" s="8">
        <v>4286</v>
      </c>
      <c r="B234" s="8" t="s">
        <v>55</v>
      </c>
      <c r="C234" s="8" t="s">
        <v>35</v>
      </c>
      <c r="D234" s="8" t="s">
        <v>41</v>
      </c>
      <c r="E234" s="8" t="s">
        <v>38</v>
      </c>
      <c r="F234" s="8">
        <v>5</v>
      </c>
      <c r="G234" s="8">
        <v>16.600000000000001</v>
      </c>
      <c r="H234" s="8">
        <v>1</v>
      </c>
      <c r="I234" s="8">
        <v>6.6</v>
      </c>
      <c r="J234" s="8">
        <v>4</v>
      </c>
    </row>
    <row r="235" spans="1:10">
      <c r="A235" s="8">
        <v>4245</v>
      </c>
      <c r="B235" s="8" t="s">
        <v>34</v>
      </c>
      <c r="C235" s="8" t="s">
        <v>35</v>
      </c>
      <c r="D235" s="8" t="s">
        <v>36</v>
      </c>
      <c r="E235" s="8" t="s">
        <v>38</v>
      </c>
      <c r="F235" s="8">
        <v>129</v>
      </c>
      <c r="G235" s="8">
        <v>4.4000000000000004</v>
      </c>
      <c r="H235" s="8">
        <v>28.42</v>
      </c>
      <c r="I235" s="8">
        <v>7.1</v>
      </c>
      <c r="J235" s="8">
        <v>4</v>
      </c>
    </row>
    <row r="236" spans="1:10">
      <c r="A236" s="8">
        <v>4244</v>
      </c>
      <c r="B236" s="8" t="s">
        <v>27</v>
      </c>
      <c r="C236" s="8" t="s">
        <v>52</v>
      </c>
      <c r="D236" s="8" t="s">
        <v>29</v>
      </c>
      <c r="E236" s="8" t="s">
        <v>38</v>
      </c>
      <c r="F236" s="8">
        <v>125</v>
      </c>
      <c r="G236" s="8">
        <v>4.5</v>
      </c>
      <c r="H236" s="8">
        <v>24.65</v>
      </c>
      <c r="I236" s="8">
        <v>8.5</v>
      </c>
      <c r="J236" s="8">
        <v>4</v>
      </c>
    </row>
    <row r="237" spans="1:10">
      <c r="A237" s="8">
        <v>4173</v>
      </c>
      <c r="B237" s="8" t="s">
        <v>34</v>
      </c>
      <c r="C237" s="8" t="s">
        <v>52</v>
      </c>
      <c r="D237" s="8" t="s">
        <v>41</v>
      </c>
      <c r="E237" s="8" t="s">
        <v>53</v>
      </c>
      <c r="F237" s="8">
        <v>36</v>
      </c>
      <c r="G237" s="8">
        <v>13</v>
      </c>
      <c r="H237" s="8">
        <v>10.77</v>
      </c>
      <c r="I237" s="8">
        <v>9.6999999999999993</v>
      </c>
      <c r="J237" s="8">
        <v>0</v>
      </c>
    </row>
    <row r="238" spans="1:10">
      <c r="A238" s="8">
        <v>4057</v>
      </c>
      <c r="B238" s="8" t="s">
        <v>61</v>
      </c>
      <c r="C238" s="8" t="s">
        <v>59</v>
      </c>
      <c r="D238" s="8" t="s">
        <v>36</v>
      </c>
      <c r="E238" s="8" t="s">
        <v>30</v>
      </c>
      <c r="F238" s="8">
        <v>17</v>
      </c>
      <c r="G238" s="8">
        <v>3</v>
      </c>
      <c r="H238" s="8">
        <v>11.85</v>
      </c>
      <c r="I238" s="8">
        <v>10</v>
      </c>
      <c r="J238" s="8">
        <v>0</v>
      </c>
    </row>
    <row r="239" spans="1:10">
      <c r="A239" s="8">
        <v>4043</v>
      </c>
      <c r="B239" s="8" t="s">
        <v>40</v>
      </c>
      <c r="C239" s="8" t="s">
        <v>35</v>
      </c>
      <c r="D239" s="8" t="s">
        <v>47</v>
      </c>
      <c r="E239" s="8" t="s">
        <v>38</v>
      </c>
      <c r="F239" s="8">
        <v>110</v>
      </c>
      <c r="G239" s="8">
        <v>2.7</v>
      </c>
      <c r="H239" s="8">
        <v>45.41</v>
      </c>
      <c r="I239" s="8">
        <v>7.8</v>
      </c>
      <c r="J239" s="8">
        <v>6</v>
      </c>
    </row>
    <row r="240" spans="1:10">
      <c r="A240" s="8">
        <v>4205</v>
      </c>
      <c r="B240" s="8" t="s">
        <v>44</v>
      </c>
      <c r="C240" s="8" t="s">
        <v>35</v>
      </c>
      <c r="D240" s="8" t="s">
        <v>41</v>
      </c>
      <c r="E240" s="8" t="s">
        <v>42</v>
      </c>
      <c r="F240" s="8">
        <v>81</v>
      </c>
      <c r="G240" s="8">
        <v>12.9</v>
      </c>
      <c r="H240" s="8">
        <v>49.92</v>
      </c>
      <c r="I240" s="8">
        <v>8.1999999999999993</v>
      </c>
      <c r="J240" s="8">
        <v>2</v>
      </c>
    </row>
    <row r="241" spans="1:10">
      <c r="A241" s="8">
        <v>4189</v>
      </c>
      <c r="B241" s="8" t="s">
        <v>60</v>
      </c>
      <c r="C241" s="8" t="s">
        <v>28</v>
      </c>
      <c r="D241" s="8" t="s">
        <v>41</v>
      </c>
      <c r="E241" s="8" t="s">
        <v>38</v>
      </c>
      <c r="F241" s="8">
        <v>202</v>
      </c>
      <c r="G241" s="8">
        <v>18.3</v>
      </c>
      <c r="H241" s="8">
        <v>33.03</v>
      </c>
      <c r="I241" s="8">
        <v>7.3</v>
      </c>
      <c r="J241" s="8">
        <v>12</v>
      </c>
    </row>
    <row r="242" spans="1:10">
      <c r="A242" s="8">
        <v>4144</v>
      </c>
      <c r="B242" s="8" t="s">
        <v>55</v>
      </c>
      <c r="C242" s="8" t="s">
        <v>52</v>
      </c>
      <c r="D242" s="8" t="s">
        <v>47</v>
      </c>
      <c r="E242" s="8" t="s">
        <v>53</v>
      </c>
      <c r="F242" s="8">
        <v>16</v>
      </c>
      <c r="G242" s="8">
        <v>5.6</v>
      </c>
      <c r="H242" s="8">
        <v>1</v>
      </c>
      <c r="I242" s="8">
        <v>8</v>
      </c>
      <c r="J242" s="8">
        <v>3</v>
      </c>
    </row>
    <row r="243" spans="1:10">
      <c r="A243" s="8">
        <v>4185</v>
      </c>
      <c r="B243" s="8" t="s">
        <v>44</v>
      </c>
      <c r="C243" s="8" t="s">
        <v>59</v>
      </c>
      <c r="D243" s="8" t="s">
        <v>29</v>
      </c>
      <c r="E243" s="8" t="s">
        <v>30</v>
      </c>
      <c r="F243" s="8">
        <v>106</v>
      </c>
      <c r="G243" s="8">
        <v>7.6</v>
      </c>
      <c r="H243" s="8">
        <v>60.38</v>
      </c>
      <c r="I243" s="8">
        <v>8</v>
      </c>
      <c r="J243" s="8">
        <v>9</v>
      </c>
    </row>
    <row r="244" spans="1:10">
      <c r="A244" s="8">
        <v>4237</v>
      </c>
      <c r="B244" s="8" t="s">
        <v>61</v>
      </c>
      <c r="C244" s="8" t="s">
        <v>59</v>
      </c>
      <c r="D244" s="8" t="s">
        <v>36</v>
      </c>
      <c r="E244" s="8" t="s">
        <v>30</v>
      </c>
      <c r="F244" s="8">
        <v>141</v>
      </c>
      <c r="G244" s="8">
        <v>3.5</v>
      </c>
      <c r="H244" s="8">
        <v>23.77</v>
      </c>
      <c r="I244" s="8">
        <v>7.5</v>
      </c>
      <c r="J244" s="8">
        <v>4</v>
      </c>
    </row>
    <row r="245" spans="1:10">
      <c r="A245" s="8">
        <v>4315</v>
      </c>
      <c r="B245" s="8" t="s">
        <v>60</v>
      </c>
      <c r="C245" s="8" t="s">
        <v>59</v>
      </c>
      <c r="D245" s="8" t="s">
        <v>29</v>
      </c>
      <c r="E245" s="8" t="s">
        <v>42</v>
      </c>
      <c r="F245" s="8">
        <v>101</v>
      </c>
      <c r="G245" s="8">
        <v>10.9</v>
      </c>
      <c r="H245" s="8">
        <v>31.98</v>
      </c>
      <c r="I245" s="8">
        <v>10</v>
      </c>
      <c r="J245" s="8">
        <v>12</v>
      </c>
    </row>
    <row r="246" spans="1:10">
      <c r="A246" s="8">
        <v>4047</v>
      </c>
      <c r="B246" s="8" t="s">
        <v>55</v>
      </c>
      <c r="C246" s="8" t="s">
        <v>45</v>
      </c>
      <c r="D246" s="8" t="s">
        <v>29</v>
      </c>
      <c r="E246" s="8" t="s">
        <v>49</v>
      </c>
      <c r="F246" s="8">
        <v>127</v>
      </c>
      <c r="G246" s="8">
        <v>3.6</v>
      </c>
      <c r="H246" s="8">
        <v>31.43</v>
      </c>
      <c r="I246" s="14">
        <v>8.1</v>
      </c>
      <c r="J246" s="8">
        <v>10</v>
      </c>
    </row>
    <row r="247" spans="1:10">
      <c r="A247" s="8">
        <v>4297</v>
      </c>
      <c r="B247" s="8" t="s">
        <v>61</v>
      </c>
      <c r="C247" s="8" t="s">
        <v>45</v>
      </c>
      <c r="D247" s="8" t="s">
        <v>29</v>
      </c>
      <c r="E247" s="8" t="s">
        <v>42</v>
      </c>
      <c r="F247" s="8">
        <v>127</v>
      </c>
      <c r="G247" s="8">
        <v>10.6</v>
      </c>
      <c r="H247" s="8">
        <v>67.31</v>
      </c>
      <c r="I247" s="8">
        <v>8.1</v>
      </c>
      <c r="J247" s="8">
        <v>1</v>
      </c>
    </row>
    <row r="248" spans="1:10">
      <c r="A248" s="8">
        <v>4305</v>
      </c>
      <c r="B248" s="8" t="s">
        <v>58</v>
      </c>
      <c r="C248" s="8" t="s">
        <v>35</v>
      </c>
      <c r="D248" s="8" t="s">
        <v>47</v>
      </c>
      <c r="E248" s="8" t="s">
        <v>30</v>
      </c>
      <c r="F248" s="8">
        <v>198</v>
      </c>
      <c r="G248" s="8">
        <v>2</v>
      </c>
      <c r="H248" s="8">
        <v>34.159999999999997</v>
      </c>
      <c r="I248" s="8">
        <v>6.9</v>
      </c>
      <c r="J248" s="8">
        <v>9</v>
      </c>
    </row>
    <row r="249" spans="1:10">
      <c r="A249" s="8">
        <v>4323</v>
      </c>
      <c r="B249" s="8" t="s">
        <v>27</v>
      </c>
      <c r="C249" s="8" t="s">
        <v>28</v>
      </c>
      <c r="D249" s="8" t="s">
        <v>36</v>
      </c>
      <c r="E249" s="8" t="s">
        <v>38</v>
      </c>
      <c r="F249" s="8">
        <v>137</v>
      </c>
      <c r="G249" s="8">
        <v>3</v>
      </c>
      <c r="H249" s="8">
        <v>31.18</v>
      </c>
      <c r="I249" s="8">
        <v>7.5</v>
      </c>
      <c r="J249" s="8">
        <v>0</v>
      </c>
    </row>
    <row r="250" spans="1:10">
      <c r="A250" s="8">
        <v>4271</v>
      </c>
      <c r="B250" s="8" t="s">
        <v>34</v>
      </c>
      <c r="C250" s="8" t="s">
        <v>28</v>
      </c>
      <c r="D250" s="8" t="s">
        <v>29</v>
      </c>
      <c r="E250" s="8" t="s">
        <v>42</v>
      </c>
      <c r="F250" s="8">
        <v>212</v>
      </c>
      <c r="G250" s="8">
        <v>13.7</v>
      </c>
      <c r="H250" s="8">
        <v>79.97</v>
      </c>
      <c r="I250" s="8">
        <v>7.5</v>
      </c>
      <c r="J250" s="8">
        <v>12</v>
      </c>
    </row>
    <row r="251" spans="1:10">
      <c r="A251" s="8">
        <v>4226</v>
      </c>
      <c r="B251" s="8" t="s">
        <v>27</v>
      </c>
      <c r="C251" s="8" t="s">
        <v>45</v>
      </c>
      <c r="D251" s="8" t="s">
        <v>29</v>
      </c>
      <c r="E251" s="8" t="s">
        <v>30</v>
      </c>
      <c r="F251" s="8">
        <v>98</v>
      </c>
      <c r="G251" s="8">
        <v>1.5</v>
      </c>
      <c r="H251" s="8">
        <v>21.46</v>
      </c>
      <c r="I251" s="8">
        <v>8.8000000000000007</v>
      </c>
      <c r="J251" s="8">
        <v>3</v>
      </c>
    </row>
    <row r="252" spans="1:10">
      <c r="A252" s="8">
        <v>4221</v>
      </c>
      <c r="B252" s="8" t="s">
        <v>40</v>
      </c>
      <c r="C252" s="8" t="s">
        <v>45</v>
      </c>
      <c r="D252" s="8" t="s">
        <v>41</v>
      </c>
      <c r="E252" s="8" t="s">
        <v>38</v>
      </c>
      <c r="F252" s="8">
        <v>163</v>
      </c>
      <c r="G252" s="8">
        <v>8.8000000000000007</v>
      </c>
      <c r="H252" s="8">
        <v>84.72</v>
      </c>
      <c r="I252" s="8">
        <v>7.5</v>
      </c>
      <c r="J252" s="8">
        <v>4</v>
      </c>
    </row>
    <row r="253" spans="1:10">
      <c r="A253" s="8">
        <v>4036</v>
      </c>
      <c r="B253" s="8" t="s">
        <v>61</v>
      </c>
      <c r="C253" s="8" t="s">
        <v>28</v>
      </c>
      <c r="D253" s="8" t="s">
        <v>41</v>
      </c>
      <c r="E253" s="8" t="s">
        <v>42</v>
      </c>
      <c r="F253" s="8">
        <v>81</v>
      </c>
      <c r="G253" s="8">
        <v>16.5</v>
      </c>
      <c r="H253" s="8">
        <v>31.68</v>
      </c>
      <c r="I253" s="8">
        <v>8.3000000000000007</v>
      </c>
      <c r="J253" s="8">
        <v>5</v>
      </c>
    </row>
    <row r="254" spans="1:10">
      <c r="A254" s="8">
        <v>4013</v>
      </c>
      <c r="B254" s="8" t="s">
        <v>60</v>
      </c>
      <c r="C254" s="8" t="s">
        <v>28</v>
      </c>
      <c r="D254" s="8" t="s">
        <v>29</v>
      </c>
      <c r="E254" s="8" t="s">
        <v>53</v>
      </c>
      <c r="F254" s="8">
        <v>117</v>
      </c>
      <c r="G254" s="8">
        <v>7.8</v>
      </c>
      <c r="H254" s="8">
        <v>48.96</v>
      </c>
      <c r="I254" s="8">
        <v>8.1</v>
      </c>
      <c r="J254" s="8">
        <v>7</v>
      </c>
    </row>
    <row r="255" spans="1:10">
      <c r="A255" s="8">
        <v>4064</v>
      </c>
      <c r="B255" s="8" t="s">
        <v>40</v>
      </c>
      <c r="C255" s="8" t="s">
        <v>59</v>
      </c>
      <c r="D255" s="8" t="s">
        <v>41</v>
      </c>
      <c r="E255" s="8" t="s">
        <v>30</v>
      </c>
      <c r="F255" s="8">
        <v>97</v>
      </c>
      <c r="G255" s="8">
        <v>16.2</v>
      </c>
      <c r="H255" s="8">
        <v>48.73</v>
      </c>
      <c r="I255" s="8">
        <v>7</v>
      </c>
      <c r="J255" s="8">
        <v>4</v>
      </c>
    </row>
    <row r="256" spans="1:10">
      <c r="A256" s="8">
        <v>4223</v>
      </c>
      <c r="B256" s="8" t="s">
        <v>40</v>
      </c>
      <c r="C256" s="8" t="s">
        <v>45</v>
      </c>
      <c r="D256" s="8" t="s">
        <v>29</v>
      </c>
      <c r="E256" s="8" t="s">
        <v>53</v>
      </c>
      <c r="F256" s="8">
        <v>123</v>
      </c>
      <c r="G256" s="8">
        <v>7.2</v>
      </c>
      <c r="H256" s="8">
        <v>51.03</v>
      </c>
      <c r="I256" s="8">
        <v>8</v>
      </c>
      <c r="J256" s="8">
        <v>10</v>
      </c>
    </row>
    <row r="257" spans="1:10">
      <c r="A257" s="8">
        <v>4093</v>
      </c>
      <c r="B257" s="8" t="s">
        <v>60</v>
      </c>
      <c r="C257" s="8" t="s">
        <v>59</v>
      </c>
      <c r="D257" s="8" t="s">
        <v>36</v>
      </c>
      <c r="E257" s="8" t="s">
        <v>30</v>
      </c>
      <c r="F257" s="8">
        <v>193</v>
      </c>
      <c r="G257" s="8">
        <v>3.2</v>
      </c>
      <c r="H257" s="8">
        <v>33.76</v>
      </c>
      <c r="I257" s="8">
        <v>8</v>
      </c>
      <c r="J257" s="8">
        <v>10</v>
      </c>
    </row>
    <row r="258" spans="1:10">
      <c r="A258" s="8">
        <v>4030</v>
      </c>
      <c r="B258" s="8" t="s">
        <v>44</v>
      </c>
      <c r="C258" s="8" t="s">
        <v>45</v>
      </c>
      <c r="D258" s="8" t="s">
        <v>36</v>
      </c>
      <c r="E258" s="8" t="s">
        <v>42</v>
      </c>
      <c r="F258" s="8">
        <v>73</v>
      </c>
      <c r="G258" s="8">
        <v>3.5</v>
      </c>
      <c r="H258" s="8">
        <v>21.92</v>
      </c>
      <c r="I258" s="8">
        <v>7.1</v>
      </c>
      <c r="J258" s="8">
        <v>6</v>
      </c>
    </row>
    <row r="259" spans="1:10">
      <c r="A259" s="8">
        <v>4261</v>
      </c>
      <c r="B259" s="8" t="s">
        <v>40</v>
      </c>
      <c r="C259" s="8" t="s">
        <v>59</v>
      </c>
      <c r="D259" s="8" t="s">
        <v>41</v>
      </c>
      <c r="E259" s="8" t="s">
        <v>53</v>
      </c>
      <c r="F259" s="8">
        <v>53</v>
      </c>
      <c r="G259" s="8">
        <v>15</v>
      </c>
      <c r="H259" s="8">
        <v>23.45</v>
      </c>
      <c r="I259" s="8">
        <v>7.2</v>
      </c>
      <c r="J259" s="8">
        <v>4</v>
      </c>
    </row>
    <row r="260" spans="1:10">
      <c r="A260" s="8">
        <v>4105</v>
      </c>
      <c r="B260" s="8" t="s">
        <v>58</v>
      </c>
      <c r="C260" s="8" t="s">
        <v>35</v>
      </c>
      <c r="D260" s="8" t="s">
        <v>29</v>
      </c>
      <c r="E260" s="8" t="s">
        <v>53</v>
      </c>
      <c r="F260" s="8">
        <v>164</v>
      </c>
      <c r="G260" s="8">
        <v>8</v>
      </c>
      <c r="H260" s="8">
        <v>57.38</v>
      </c>
      <c r="I260" s="8">
        <v>8.6</v>
      </c>
      <c r="J260" s="8">
        <v>8</v>
      </c>
    </row>
    <row r="261" spans="1:10">
      <c r="A261" s="8">
        <v>4228</v>
      </c>
      <c r="B261" s="8" t="s">
        <v>60</v>
      </c>
      <c r="C261" s="8" t="s">
        <v>52</v>
      </c>
      <c r="D261" s="8" t="s">
        <v>29</v>
      </c>
      <c r="E261" s="8" t="s">
        <v>38</v>
      </c>
      <c r="F261" s="8">
        <v>141</v>
      </c>
      <c r="G261" s="8">
        <v>3.2</v>
      </c>
      <c r="H261" s="8">
        <v>28.41</v>
      </c>
      <c r="I261" s="8">
        <v>6.7</v>
      </c>
      <c r="J261" s="8">
        <v>8</v>
      </c>
    </row>
    <row r="262" spans="1:10">
      <c r="A262" s="8">
        <v>4208</v>
      </c>
      <c r="B262" s="8" t="s">
        <v>55</v>
      </c>
      <c r="C262" s="8" t="s">
        <v>59</v>
      </c>
      <c r="D262" s="8" t="s">
        <v>36</v>
      </c>
      <c r="E262" s="8" t="s">
        <v>53</v>
      </c>
      <c r="F262" s="8">
        <v>97</v>
      </c>
      <c r="G262" s="8">
        <v>3.5</v>
      </c>
      <c r="H262" s="8">
        <v>30.38</v>
      </c>
      <c r="I262" s="8">
        <v>7.1</v>
      </c>
      <c r="J262" s="8">
        <v>7</v>
      </c>
    </row>
    <row r="263" spans="1:10">
      <c r="A263" s="8">
        <v>4233</v>
      </c>
      <c r="B263" s="8" t="s">
        <v>55</v>
      </c>
      <c r="C263" s="8" t="s">
        <v>52</v>
      </c>
      <c r="D263" s="8" t="s">
        <v>47</v>
      </c>
      <c r="E263" s="8" t="s">
        <v>53</v>
      </c>
      <c r="F263" s="8">
        <v>113</v>
      </c>
      <c r="G263" s="21">
        <v>4.5</v>
      </c>
      <c r="H263" s="8">
        <v>48.12</v>
      </c>
      <c r="I263" s="8">
        <v>8.1</v>
      </c>
      <c r="J263" s="8">
        <v>6</v>
      </c>
    </row>
    <row r="264" spans="1:10">
      <c r="A264" s="8">
        <v>4108</v>
      </c>
      <c r="B264" s="8" t="s">
        <v>44</v>
      </c>
      <c r="C264" s="8" t="s">
        <v>59</v>
      </c>
      <c r="D264" s="8" t="s">
        <v>36</v>
      </c>
      <c r="E264" s="8" t="s">
        <v>42</v>
      </c>
      <c r="F264" s="8">
        <v>51</v>
      </c>
      <c r="G264" s="8">
        <v>3</v>
      </c>
      <c r="H264" s="8">
        <v>23</v>
      </c>
      <c r="I264" s="8">
        <v>7.7</v>
      </c>
      <c r="J264" s="8">
        <v>10</v>
      </c>
    </row>
    <row r="265" spans="1:10">
      <c r="A265" s="8">
        <v>4280</v>
      </c>
      <c r="B265" s="8" t="s">
        <v>60</v>
      </c>
      <c r="C265" s="8" t="s">
        <v>35</v>
      </c>
      <c r="D265" s="8" t="s">
        <v>41</v>
      </c>
      <c r="E265" s="8" t="s">
        <v>49</v>
      </c>
      <c r="F265" s="8">
        <v>264</v>
      </c>
      <c r="G265" s="8">
        <v>11.5</v>
      </c>
      <c r="H265" s="8">
        <v>84.62</v>
      </c>
      <c r="I265" s="8">
        <v>8.8000000000000007</v>
      </c>
      <c r="J265" s="8">
        <v>14</v>
      </c>
    </row>
    <row r="266" spans="1:10">
      <c r="A266" s="8">
        <v>4150</v>
      </c>
      <c r="B266" s="8" t="s">
        <v>40</v>
      </c>
      <c r="C266" s="8" t="s">
        <v>28</v>
      </c>
      <c r="D266" s="8" t="s">
        <v>36</v>
      </c>
      <c r="E266" s="8" t="s">
        <v>42</v>
      </c>
      <c r="F266" s="8">
        <v>127</v>
      </c>
      <c r="G266" s="8">
        <v>2</v>
      </c>
      <c r="H266" s="8">
        <v>35.869999999999997</v>
      </c>
      <c r="I266" s="8">
        <v>8.1999999999999993</v>
      </c>
      <c r="J266" s="8">
        <v>4</v>
      </c>
    </row>
    <row r="267" spans="1:10">
      <c r="A267" s="8">
        <v>4225</v>
      </c>
      <c r="B267" s="8" t="s">
        <v>27</v>
      </c>
      <c r="C267" s="8" t="s">
        <v>45</v>
      </c>
      <c r="D267" s="8" t="s">
        <v>47</v>
      </c>
      <c r="E267" s="8" t="s">
        <v>30</v>
      </c>
      <c r="F267" s="8">
        <v>102</v>
      </c>
      <c r="G267" s="8">
        <v>5.0999999999999996</v>
      </c>
      <c r="H267" s="8">
        <v>17.21</v>
      </c>
      <c r="I267" s="8">
        <v>8.6</v>
      </c>
      <c r="J267" s="8">
        <v>4</v>
      </c>
    </row>
    <row r="268" spans="1:10">
      <c r="A268" s="8">
        <v>4113</v>
      </c>
      <c r="B268" s="8" t="s">
        <v>61</v>
      </c>
      <c r="C268" s="8" t="s">
        <v>45</v>
      </c>
      <c r="D268" s="8" t="s">
        <v>36</v>
      </c>
      <c r="E268" s="8" t="s">
        <v>38</v>
      </c>
      <c r="F268" s="8">
        <v>139</v>
      </c>
      <c r="G268" s="8">
        <v>2.2999999999999998</v>
      </c>
      <c r="H268" s="8">
        <v>33.369999999999997</v>
      </c>
      <c r="I268" s="8">
        <v>7.3</v>
      </c>
      <c r="J268" s="8">
        <v>7</v>
      </c>
    </row>
    <row r="269" spans="1:10">
      <c r="A269" s="8">
        <v>4312</v>
      </c>
      <c r="B269" s="8" t="s">
        <v>61</v>
      </c>
      <c r="C269" s="8" t="s">
        <v>59</v>
      </c>
      <c r="D269" s="8" t="s">
        <v>36</v>
      </c>
      <c r="E269" s="8" t="s">
        <v>38</v>
      </c>
      <c r="F269" s="8">
        <v>5</v>
      </c>
      <c r="G269" s="8">
        <v>2.2999999999999998</v>
      </c>
      <c r="H269" s="8">
        <v>1</v>
      </c>
      <c r="I269" s="8">
        <v>7</v>
      </c>
      <c r="J269" s="8">
        <v>0</v>
      </c>
    </row>
    <row r="270" spans="1:10">
      <c r="A270" s="8">
        <v>4019</v>
      </c>
      <c r="B270" s="8" t="s">
        <v>44</v>
      </c>
      <c r="C270" s="8" t="s">
        <v>35</v>
      </c>
      <c r="D270" s="8" t="s">
        <v>29</v>
      </c>
      <c r="E270" s="8" t="s">
        <v>30</v>
      </c>
      <c r="F270" s="8">
        <v>161</v>
      </c>
      <c r="G270" s="8">
        <v>10.3</v>
      </c>
      <c r="H270" s="8">
        <v>80.040000000000006</v>
      </c>
      <c r="I270" s="8">
        <v>7.9</v>
      </c>
      <c r="J270" s="8">
        <v>7</v>
      </c>
    </row>
    <row r="271" spans="1:10">
      <c r="A271" s="8">
        <v>4166</v>
      </c>
      <c r="B271" s="8" t="s">
        <v>27</v>
      </c>
      <c r="C271" s="8" t="s">
        <v>59</v>
      </c>
      <c r="D271" s="8" t="s">
        <v>29</v>
      </c>
      <c r="E271" s="8" t="s">
        <v>42</v>
      </c>
      <c r="F271" s="8">
        <v>199</v>
      </c>
      <c r="G271" s="8">
        <v>2.6</v>
      </c>
      <c r="H271" s="8">
        <v>25.14</v>
      </c>
      <c r="I271" s="8">
        <v>7.7</v>
      </c>
      <c r="J271" s="8">
        <v>11</v>
      </c>
    </row>
    <row r="272" spans="1:10">
      <c r="A272" s="8">
        <v>4210</v>
      </c>
      <c r="B272" s="8" t="s">
        <v>34</v>
      </c>
      <c r="C272" s="8" t="s">
        <v>52</v>
      </c>
      <c r="D272" s="8" t="s">
        <v>47</v>
      </c>
      <c r="E272" s="8" t="s">
        <v>42</v>
      </c>
      <c r="F272" s="8">
        <v>124</v>
      </c>
      <c r="G272" s="8">
        <v>5.0999999999999996</v>
      </c>
      <c r="H272" s="8">
        <v>20.87</v>
      </c>
      <c r="I272" s="8">
        <v>8.6999999999999993</v>
      </c>
      <c r="J272" s="8">
        <v>9</v>
      </c>
    </row>
    <row r="273" spans="1:10">
      <c r="A273" s="8">
        <v>4035</v>
      </c>
      <c r="B273" s="8" t="s">
        <v>34</v>
      </c>
      <c r="C273" s="8" t="s">
        <v>59</v>
      </c>
      <c r="D273" s="8" t="s">
        <v>36</v>
      </c>
      <c r="E273" s="8" t="s">
        <v>49</v>
      </c>
      <c r="F273" s="8">
        <v>241</v>
      </c>
      <c r="G273" s="8">
        <v>3.4</v>
      </c>
      <c r="H273" s="8">
        <v>65.819999999999993</v>
      </c>
      <c r="I273" s="8">
        <v>8.8000000000000007</v>
      </c>
      <c r="J273" s="8">
        <v>20</v>
      </c>
    </row>
    <row r="274" spans="1:10">
      <c r="A274" s="8">
        <v>4273</v>
      </c>
      <c r="B274" s="8" t="s">
        <v>40</v>
      </c>
      <c r="C274" s="8" t="s">
        <v>59</v>
      </c>
      <c r="D274" s="8" t="s">
        <v>41</v>
      </c>
      <c r="E274" s="8" t="s">
        <v>42</v>
      </c>
      <c r="F274" s="8">
        <v>212</v>
      </c>
      <c r="G274" s="8">
        <v>16.3</v>
      </c>
      <c r="H274" s="8">
        <v>55.44</v>
      </c>
      <c r="I274" s="8">
        <v>9.4</v>
      </c>
      <c r="J274" s="8">
        <v>14</v>
      </c>
    </row>
    <row r="275" spans="1:10">
      <c r="A275" s="8">
        <v>4308</v>
      </c>
      <c r="B275" s="8" t="s">
        <v>44</v>
      </c>
      <c r="C275" s="8" t="s">
        <v>35</v>
      </c>
      <c r="D275" s="8" t="s">
        <v>47</v>
      </c>
      <c r="E275" s="8" t="s">
        <v>38</v>
      </c>
      <c r="F275" s="8">
        <v>138</v>
      </c>
      <c r="G275" s="8">
        <v>5.3</v>
      </c>
      <c r="H275" s="8">
        <v>57.47</v>
      </c>
      <c r="I275" s="8">
        <v>7.5</v>
      </c>
      <c r="J275" s="8">
        <v>2</v>
      </c>
    </row>
    <row r="276" spans="1:10">
      <c r="A276" s="8">
        <v>4289</v>
      </c>
      <c r="B276" s="8" t="s">
        <v>34</v>
      </c>
      <c r="C276" s="8" t="s">
        <v>28</v>
      </c>
      <c r="D276" s="8" t="s">
        <v>36</v>
      </c>
      <c r="E276" s="8" t="s">
        <v>30</v>
      </c>
      <c r="F276" s="8">
        <v>132</v>
      </c>
      <c r="G276" s="8">
        <v>3.8</v>
      </c>
      <c r="H276" s="8">
        <v>23.04</v>
      </c>
      <c r="I276" s="8">
        <v>0.2</v>
      </c>
      <c r="J276" s="8">
        <v>7</v>
      </c>
    </row>
    <row r="277" spans="1:10">
      <c r="A277" s="8">
        <v>4234</v>
      </c>
      <c r="B277" s="8" t="s">
        <v>44</v>
      </c>
      <c r="C277" s="8" t="s">
        <v>28</v>
      </c>
      <c r="D277" s="8" t="s">
        <v>36</v>
      </c>
      <c r="E277" s="8" t="s">
        <v>53</v>
      </c>
      <c r="F277" s="8">
        <v>199</v>
      </c>
      <c r="G277" s="8">
        <v>3.8</v>
      </c>
      <c r="H277" s="8">
        <v>88.89</v>
      </c>
      <c r="I277" s="8">
        <v>8</v>
      </c>
      <c r="J277" s="8">
        <v>14</v>
      </c>
    </row>
    <row r="278" spans="1:10">
      <c r="A278" s="8">
        <v>4175</v>
      </c>
      <c r="B278" s="8" t="s">
        <v>40</v>
      </c>
      <c r="C278" s="8" t="s">
        <v>45</v>
      </c>
      <c r="D278" s="8" t="s">
        <v>41</v>
      </c>
      <c r="E278" s="8" t="s">
        <v>53</v>
      </c>
      <c r="F278" s="8">
        <v>139</v>
      </c>
      <c r="G278" s="8">
        <v>12.2</v>
      </c>
      <c r="H278" s="8">
        <v>29.6</v>
      </c>
      <c r="I278" s="8">
        <v>8.6</v>
      </c>
      <c r="J278" s="8">
        <v>11</v>
      </c>
    </row>
    <row r="279" spans="1:10">
      <c r="A279" s="8">
        <v>4188</v>
      </c>
      <c r="B279" s="8" t="s">
        <v>61</v>
      </c>
      <c r="C279" s="8" t="s">
        <v>28</v>
      </c>
      <c r="D279" s="8" t="s">
        <v>47</v>
      </c>
      <c r="E279" s="8" t="s">
        <v>49</v>
      </c>
      <c r="F279" s="8">
        <v>172</v>
      </c>
      <c r="G279" s="8">
        <v>3.1</v>
      </c>
      <c r="H279" s="8">
        <v>42.56</v>
      </c>
      <c r="I279" s="8">
        <v>8.9</v>
      </c>
      <c r="J279" s="8">
        <v>15</v>
      </c>
    </row>
    <row r="280" spans="1:10">
      <c r="A280" s="8">
        <v>4073</v>
      </c>
      <c r="B280" s="8" t="s">
        <v>44</v>
      </c>
      <c r="C280" s="8" t="s">
        <v>28</v>
      </c>
      <c r="D280" s="8" t="s">
        <v>41</v>
      </c>
      <c r="E280" s="8" t="s">
        <v>42</v>
      </c>
      <c r="F280" s="8">
        <v>142</v>
      </c>
      <c r="G280" s="8">
        <v>22.2</v>
      </c>
      <c r="H280" s="8">
        <v>60.95</v>
      </c>
      <c r="I280" s="8">
        <v>8.1999999999999993</v>
      </c>
      <c r="J280" s="8">
        <v>2</v>
      </c>
    </row>
    <row r="281" spans="1:10">
      <c r="A281" s="8">
        <v>4251</v>
      </c>
      <c r="B281" s="8" t="s">
        <v>60</v>
      </c>
      <c r="C281" s="8" t="s">
        <v>45</v>
      </c>
      <c r="D281" s="8" t="s">
        <v>36</v>
      </c>
      <c r="E281" s="8" t="s">
        <v>30</v>
      </c>
      <c r="F281" s="8">
        <v>5</v>
      </c>
      <c r="G281" s="8">
        <v>2.2000000000000002</v>
      </c>
      <c r="H281" s="8">
        <v>1</v>
      </c>
      <c r="I281" s="8">
        <v>7.8</v>
      </c>
      <c r="J281" s="8">
        <v>3</v>
      </c>
    </row>
    <row r="282" spans="1:10">
      <c r="A282" s="8">
        <v>4238</v>
      </c>
      <c r="B282" s="8" t="s">
        <v>44</v>
      </c>
      <c r="C282" s="8" t="s">
        <v>35</v>
      </c>
      <c r="D282" s="8" t="s">
        <v>36</v>
      </c>
      <c r="E282" s="8" t="s">
        <v>49</v>
      </c>
      <c r="F282" s="8">
        <v>117</v>
      </c>
      <c r="G282" s="8">
        <v>3.2</v>
      </c>
      <c r="H282" s="8">
        <v>51.99</v>
      </c>
      <c r="I282" s="8">
        <v>7.3</v>
      </c>
      <c r="J282" s="8">
        <v>5</v>
      </c>
    </row>
    <row r="283" spans="1:10">
      <c r="A283" s="8">
        <v>4192</v>
      </c>
      <c r="B283" s="8" t="s">
        <v>60</v>
      </c>
      <c r="C283" s="8" t="s">
        <v>52</v>
      </c>
      <c r="D283" s="8" t="s">
        <v>36</v>
      </c>
      <c r="E283" s="8" t="s">
        <v>49</v>
      </c>
      <c r="F283" s="8">
        <v>162</v>
      </c>
      <c r="G283" s="8">
        <v>3.3</v>
      </c>
      <c r="H283" s="8">
        <v>27.72</v>
      </c>
      <c r="I283" s="8">
        <v>6.9</v>
      </c>
      <c r="J283" s="8">
        <v>10</v>
      </c>
    </row>
    <row r="284" spans="1:10">
      <c r="A284" s="8">
        <v>4275</v>
      </c>
      <c r="B284" s="8" t="s">
        <v>27</v>
      </c>
      <c r="C284" s="8" t="s">
        <v>59</v>
      </c>
      <c r="D284" s="8" t="s">
        <v>36</v>
      </c>
      <c r="E284" s="8" t="s">
        <v>42</v>
      </c>
      <c r="F284" s="8">
        <v>101</v>
      </c>
      <c r="G284" s="8">
        <v>4.2</v>
      </c>
      <c r="H284" s="8">
        <v>19.68</v>
      </c>
      <c r="I284" s="8">
        <v>7.6</v>
      </c>
      <c r="J284" s="8">
        <v>2</v>
      </c>
    </row>
    <row r="285" spans="1:10">
      <c r="A285" s="8">
        <v>4107</v>
      </c>
      <c r="B285" s="8" t="s">
        <v>60</v>
      </c>
      <c r="C285" s="8" t="s">
        <v>59</v>
      </c>
      <c r="D285" s="8" t="s">
        <v>47</v>
      </c>
      <c r="E285" s="8" t="s">
        <v>30</v>
      </c>
      <c r="F285" s="8">
        <v>224</v>
      </c>
      <c r="G285" s="8">
        <v>6.3</v>
      </c>
      <c r="H285" s="8">
        <v>62.72</v>
      </c>
      <c r="I285" s="8">
        <v>6.3</v>
      </c>
      <c r="J285" s="8">
        <v>10</v>
      </c>
    </row>
    <row r="286" spans="1:10">
      <c r="A286" s="8">
        <v>4300</v>
      </c>
      <c r="B286" s="8" t="s">
        <v>60</v>
      </c>
      <c r="C286" s="8" t="s">
        <v>52</v>
      </c>
      <c r="D286" s="8" t="s">
        <v>41</v>
      </c>
      <c r="E286" s="8" t="s">
        <v>53</v>
      </c>
      <c r="F286" s="8">
        <v>123</v>
      </c>
      <c r="G286" s="8">
        <v>16.7</v>
      </c>
      <c r="H286" s="8">
        <v>49.1</v>
      </c>
      <c r="I286" s="8">
        <v>7</v>
      </c>
      <c r="J286" s="8">
        <v>13</v>
      </c>
    </row>
    <row r="287" spans="1:10">
      <c r="A287" s="8">
        <v>4068</v>
      </c>
      <c r="B287" s="8" t="s">
        <v>58</v>
      </c>
      <c r="C287" s="8" t="s">
        <v>28</v>
      </c>
      <c r="D287" s="8" t="s">
        <v>36</v>
      </c>
      <c r="E287" s="8" t="s">
        <v>38</v>
      </c>
      <c r="F287" s="8">
        <v>104</v>
      </c>
      <c r="G287" s="8">
        <v>3.7</v>
      </c>
      <c r="H287" s="8">
        <v>51.14</v>
      </c>
      <c r="I287" s="8">
        <v>8.9</v>
      </c>
      <c r="J287" s="8">
        <v>0</v>
      </c>
    </row>
    <row r="288" spans="1:10">
      <c r="A288" s="8">
        <v>4104</v>
      </c>
      <c r="B288" s="8" t="s">
        <v>58</v>
      </c>
      <c r="C288" s="8" t="s">
        <v>35</v>
      </c>
      <c r="D288" s="8" t="s">
        <v>47</v>
      </c>
      <c r="E288" s="8" t="s">
        <v>38</v>
      </c>
      <c r="F288" s="8">
        <v>176</v>
      </c>
      <c r="G288" s="8">
        <v>2.7</v>
      </c>
      <c r="H288" s="8">
        <v>39.020000000000003</v>
      </c>
      <c r="I288" s="8">
        <v>8.1</v>
      </c>
      <c r="J288" s="8">
        <v>3</v>
      </c>
    </row>
    <row r="289" spans="1:10">
      <c r="A289" s="8">
        <v>4157</v>
      </c>
      <c r="B289" s="8" t="s">
        <v>58</v>
      </c>
      <c r="C289" s="8" t="s">
        <v>35</v>
      </c>
      <c r="D289" s="8" t="s">
        <v>47</v>
      </c>
      <c r="E289" s="8" t="s">
        <v>30</v>
      </c>
      <c r="F289" s="8">
        <v>176</v>
      </c>
      <c r="G289" s="8">
        <v>2.6</v>
      </c>
      <c r="H289" s="8">
        <v>61.14</v>
      </c>
      <c r="I289" s="8">
        <v>6.3</v>
      </c>
      <c r="J289" s="8">
        <v>7</v>
      </c>
    </row>
    <row r="290" spans="1:10">
      <c r="A290" s="8">
        <v>4132</v>
      </c>
      <c r="B290" s="8" t="s">
        <v>55</v>
      </c>
      <c r="C290" s="8" t="s">
        <v>28</v>
      </c>
      <c r="D290" s="8" t="s">
        <v>36</v>
      </c>
      <c r="E290" s="8" t="s">
        <v>42</v>
      </c>
      <c r="F290" s="8">
        <v>161</v>
      </c>
      <c r="G290" s="8">
        <v>2.8</v>
      </c>
      <c r="H290" s="8">
        <v>54.4</v>
      </c>
      <c r="I290" s="8">
        <v>8.3000000000000007</v>
      </c>
      <c r="J290" s="8">
        <v>15</v>
      </c>
    </row>
    <row r="291" spans="1:10">
      <c r="A291" s="8">
        <v>4277</v>
      </c>
      <c r="B291" s="8" t="s">
        <v>61</v>
      </c>
      <c r="C291" s="8" t="s">
        <v>28</v>
      </c>
      <c r="D291" s="8" t="s">
        <v>41</v>
      </c>
      <c r="E291" s="8" t="s">
        <v>42</v>
      </c>
      <c r="F291" s="8">
        <v>192</v>
      </c>
      <c r="G291" s="8">
        <v>8.5</v>
      </c>
      <c r="H291" s="8">
        <v>86.11</v>
      </c>
      <c r="I291" s="8">
        <v>5.7</v>
      </c>
      <c r="J291" s="8">
        <v>15</v>
      </c>
    </row>
    <row r="292" spans="1:10">
      <c r="A292" s="8">
        <v>4224</v>
      </c>
      <c r="B292" s="8" t="s">
        <v>40</v>
      </c>
      <c r="C292" s="8" t="s">
        <v>52</v>
      </c>
      <c r="D292" s="8" t="s">
        <v>29</v>
      </c>
      <c r="E292" s="8" t="s">
        <v>42</v>
      </c>
      <c r="F292" s="8">
        <v>158</v>
      </c>
      <c r="G292" s="8">
        <v>8.6</v>
      </c>
      <c r="H292" s="8">
        <v>34.340000000000003</v>
      </c>
      <c r="I292" s="8">
        <v>7.1</v>
      </c>
      <c r="J292" s="8">
        <v>11</v>
      </c>
    </row>
    <row r="293" spans="1:10">
      <c r="A293" s="8">
        <v>4195</v>
      </c>
      <c r="B293" s="8" t="s">
        <v>60</v>
      </c>
      <c r="C293" s="8" t="s">
        <v>28</v>
      </c>
      <c r="D293" s="8" t="s">
        <v>36</v>
      </c>
      <c r="E293" s="8" t="s">
        <v>42</v>
      </c>
      <c r="F293" s="8">
        <v>142</v>
      </c>
      <c r="G293" s="8">
        <v>3</v>
      </c>
      <c r="H293" s="8">
        <v>65.41</v>
      </c>
      <c r="I293" s="8">
        <v>7.9</v>
      </c>
      <c r="J293" s="8">
        <v>0</v>
      </c>
    </row>
    <row r="294" spans="1:10">
      <c r="A294" s="8">
        <v>4128</v>
      </c>
      <c r="B294" s="8" t="s">
        <v>61</v>
      </c>
      <c r="C294" s="8" t="s">
        <v>28</v>
      </c>
      <c r="D294" s="8" t="s">
        <v>47</v>
      </c>
      <c r="E294" s="8" t="s">
        <v>30</v>
      </c>
      <c r="F294" s="8">
        <v>56</v>
      </c>
      <c r="G294" s="8">
        <v>6.1</v>
      </c>
      <c r="H294" s="8">
        <v>17.850000000000001</v>
      </c>
      <c r="I294" s="8">
        <v>7.6</v>
      </c>
      <c r="J294" s="8">
        <v>7</v>
      </c>
    </row>
    <row r="295" spans="1:10">
      <c r="A295" s="8">
        <v>4156</v>
      </c>
      <c r="B295" s="8" t="s">
        <v>40</v>
      </c>
      <c r="C295" s="8" t="s">
        <v>35</v>
      </c>
      <c r="D295" s="8" t="s">
        <v>41</v>
      </c>
      <c r="E295" s="8" t="s">
        <v>53</v>
      </c>
      <c r="F295" s="8">
        <v>160</v>
      </c>
      <c r="G295" s="8">
        <v>10.6</v>
      </c>
      <c r="H295" s="8">
        <v>53.97</v>
      </c>
      <c r="I295" s="8">
        <v>8.6999999999999993</v>
      </c>
      <c r="J295" s="8">
        <v>13</v>
      </c>
    </row>
    <row r="296" spans="1:10">
      <c r="A296" s="8">
        <v>4158</v>
      </c>
      <c r="B296" s="8" t="s">
        <v>34</v>
      </c>
      <c r="C296" s="8" t="s">
        <v>35</v>
      </c>
      <c r="D296" s="8" t="s">
        <v>36</v>
      </c>
      <c r="E296" s="8" t="s">
        <v>38</v>
      </c>
      <c r="F296" s="8">
        <v>184</v>
      </c>
      <c r="G296" s="8">
        <v>3.3</v>
      </c>
      <c r="H296" s="8">
        <v>82.01</v>
      </c>
      <c r="I296" s="8">
        <v>9.8000000000000007</v>
      </c>
      <c r="J296" s="8">
        <v>10</v>
      </c>
    </row>
    <row r="297" spans="1:10">
      <c r="A297" s="8">
        <v>4027</v>
      </c>
      <c r="B297" s="8" t="s">
        <v>55</v>
      </c>
      <c r="C297" s="8" t="s">
        <v>35</v>
      </c>
      <c r="D297" s="8" t="s">
        <v>41</v>
      </c>
      <c r="E297" s="8" t="s">
        <v>53</v>
      </c>
      <c r="F297" s="8">
        <v>117</v>
      </c>
      <c r="G297" s="8">
        <v>10.6</v>
      </c>
      <c r="H297" s="8">
        <v>17.899999999999999</v>
      </c>
      <c r="I297" s="8">
        <v>6.9</v>
      </c>
      <c r="J297" s="8">
        <v>0</v>
      </c>
    </row>
    <row r="298" spans="1:10">
      <c r="A298" s="8">
        <v>4216</v>
      </c>
      <c r="B298" s="8" t="s">
        <v>60</v>
      </c>
      <c r="C298" s="8" t="s">
        <v>45</v>
      </c>
      <c r="D298" s="8" t="s">
        <v>29</v>
      </c>
      <c r="E298" s="8" t="s">
        <v>53</v>
      </c>
      <c r="F298" s="8">
        <v>105</v>
      </c>
      <c r="G298" s="8">
        <v>3.9</v>
      </c>
      <c r="H298" s="8">
        <v>44.36</v>
      </c>
      <c r="I298" s="8">
        <v>9.5</v>
      </c>
      <c r="J298" s="8">
        <v>5</v>
      </c>
    </row>
    <row r="299" spans="1:10">
      <c r="A299" s="8">
        <v>4262</v>
      </c>
      <c r="B299" s="8" t="s">
        <v>55</v>
      </c>
      <c r="C299" s="8" t="s">
        <v>28</v>
      </c>
      <c r="D299" s="8" t="s">
        <v>29</v>
      </c>
      <c r="E299" s="8" t="s">
        <v>38</v>
      </c>
      <c r="F299" s="8">
        <v>173</v>
      </c>
      <c r="G299" s="8">
        <v>12.8</v>
      </c>
      <c r="H299" s="8">
        <v>57.84</v>
      </c>
      <c r="I299" s="8">
        <v>8.1999999999999993</v>
      </c>
      <c r="J299" s="8">
        <v>14</v>
      </c>
    </row>
    <row r="300" spans="1:10">
      <c r="A300" s="8">
        <v>4203</v>
      </c>
      <c r="B300" s="8" t="s">
        <v>44</v>
      </c>
      <c r="C300" s="8" t="s">
        <v>52</v>
      </c>
      <c r="D300" s="8" t="s">
        <v>47</v>
      </c>
      <c r="E300" s="8" t="s">
        <v>42</v>
      </c>
      <c r="F300" s="8">
        <v>96</v>
      </c>
      <c r="G300" s="8">
        <v>2.7</v>
      </c>
      <c r="H300" s="8">
        <v>19.190000000000001</v>
      </c>
      <c r="I300" s="8">
        <v>8.3000000000000007</v>
      </c>
      <c r="J300" s="8">
        <v>7</v>
      </c>
    </row>
    <row r="301" spans="1:10">
      <c r="A301" s="8">
        <v>4285</v>
      </c>
      <c r="B301" s="8" t="s">
        <v>40</v>
      </c>
      <c r="C301" s="8" t="s">
        <v>52</v>
      </c>
      <c r="D301" s="8" t="s">
        <v>47</v>
      </c>
      <c r="E301" s="8" t="s">
        <v>49</v>
      </c>
      <c r="F301" s="8">
        <v>81</v>
      </c>
      <c r="G301" s="8">
        <v>1.3</v>
      </c>
      <c r="H301" s="8">
        <v>26.91</v>
      </c>
      <c r="I301" s="8">
        <v>8</v>
      </c>
      <c r="J301" s="8">
        <v>9</v>
      </c>
    </row>
    <row r="302" spans="1:10">
      <c r="A302" s="8">
        <v>4153</v>
      </c>
      <c r="B302" s="8" t="s">
        <v>55</v>
      </c>
      <c r="C302" s="8" t="s">
        <v>45</v>
      </c>
      <c r="D302" s="8" t="s">
        <v>36</v>
      </c>
      <c r="E302" s="8" t="s">
        <v>42</v>
      </c>
      <c r="F302" s="8">
        <v>149</v>
      </c>
      <c r="G302" s="8">
        <v>3</v>
      </c>
      <c r="H302" s="8">
        <v>76.959999999999994</v>
      </c>
      <c r="I302" s="8">
        <v>7.4</v>
      </c>
      <c r="J302" s="8">
        <v>10</v>
      </c>
    </row>
    <row r="303" spans="1:10">
      <c r="A303" s="8">
        <v>4131</v>
      </c>
      <c r="B303" s="8" t="s">
        <v>34</v>
      </c>
      <c r="C303" s="8" t="s">
        <v>45</v>
      </c>
      <c r="D303" s="8" t="s">
        <v>36</v>
      </c>
      <c r="E303" s="8" t="s">
        <v>30</v>
      </c>
      <c r="F303" s="8">
        <v>72</v>
      </c>
      <c r="G303" s="8">
        <v>3.5</v>
      </c>
      <c r="H303" s="8">
        <v>19.11</v>
      </c>
      <c r="I303" s="8">
        <v>7.7</v>
      </c>
      <c r="J303" s="8">
        <v>3</v>
      </c>
    </row>
    <row r="304" spans="1:10">
      <c r="A304" s="8">
        <v>4197</v>
      </c>
      <c r="B304" s="8" t="s">
        <v>34</v>
      </c>
      <c r="C304" s="8" t="s">
        <v>45</v>
      </c>
      <c r="D304" s="8" t="s">
        <v>29</v>
      </c>
      <c r="E304" s="8" t="s">
        <v>49</v>
      </c>
      <c r="F304" s="8">
        <v>154</v>
      </c>
      <c r="G304" s="8">
        <v>8.5</v>
      </c>
      <c r="H304" s="8">
        <v>62.11</v>
      </c>
      <c r="I304" s="8">
        <v>7.5</v>
      </c>
      <c r="J304" s="8">
        <v>9</v>
      </c>
    </row>
    <row r="305" spans="1:10">
      <c r="A305" s="8">
        <v>4161</v>
      </c>
      <c r="B305" s="8" t="s">
        <v>58</v>
      </c>
      <c r="C305" s="8" t="s">
        <v>28</v>
      </c>
      <c r="D305" s="8" t="s">
        <v>36</v>
      </c>
      <c r="E305" s="8" t="s">
        <v>42</v>
      </c>
      <c r="F305" s="8">
        <v>261</v>
      </c>
      <c r="G305" s="8">
        <v>2.8</v>
      </c>
      <c r="H305" s="8">
        <v>76.819999999999993</v>
      </c>
      <c r="I305" s="8">
        <v>9.1</v>
      </c>
      <c r="J305" s="8">
        <v>17</v>
      </c>
    </row>
    <row r="306" spans="1:10">
      <c r="A306" s="8">
        <v>4045</v>
      </c>
      <c r="B306" s="8" t="s">
        <v>60</v>
      </c>
      <c r="C306" s="8" t="s">
        <v>52</v>
      </c>
      <c r="D306" s="8" t="s">
        <v>41</v>
      </c>
      <c r="E306" s="8" t="s">
        <v>49</v>
      </c>
      <c r="F306" s="8">
        <v>162</v>
      </c>
      <c r="G306" s="8">
        <v>15.3</v>
      </c>
      <c r="H306" s="8">
        <v>28.42</v>
      </c>
      <c r="I306" s="8">
        <v>9.4</v>
      </c>
      <c r="J306" s="8">
        <v>9</v>
      </c>
    </row>
    <row r="307" spans="1:10">
      <c r="A307" s="8">
        <v>4135</v>
      </c>
      <c r="B307" s="8" t="s">
        <v>44</v>
      </c>
      <c r="C307" s="8" t="s">
        <v>28</v>
      </c>
      <c r="D307" s="8" t="s">
        <v>41</v>
      </c>
      <c r="E307" s="8" t="s">
        <v>42</v>
      </c>
      <c r="F307" s="8">
        <v>63</v>
      </c>
      <c r="G307" s="8">
        <v>8.6</v>
      </c>
      <c r="H307" s="8">
        <v>31.16</v>
      </c>
      <c r="I307" s="8">
        <v>8.3000000000000007</v>
      </c>
      <c r="J307" s="8">
        <v>0</v>
      </c>
    </row>
    <row r="308" spans="1:10">
      <c r="A308" s="8">
        <v>4267</v>
      </c>
      <c r="B308" s="8" t="s">
        <v>27</v>
      </c>
      <c r="C308" s="8" t="s">
        <v>45</v>
      </c>
      <c r="D308" s="8" t="s">
        <v>47</v>
      </c>
      <c r="E308" s="8" t="s">
        <v>30</v>
      </c>
      <c r="F308" s="8">
        <v>156</v>
      </c>
      <c r="G308" s="8">
        <v>6.4</v>
      </c>
      <c r="H308" s="8">
        <v>70.510000000000005</v>
      </c>
      <c r="I308" s="8">
        <v>9</v>
      </c>
      <c r="J308" s="8">
        <v>0</v>
      </c>
    </row>
    <row r="309" spans="1:10">
      <c r="A309" s="8">
        <v>4141</v>
      </c>
      <c r="B309" s="8" t="s">
        <v>61</v>
      </c>
      <c r="C309" s="8" t="s">
        <v>28</v>
      </c>
      <c r="D309" s="8" t="s">
        <v>47</v>
      </c>
      <c r="E309" s="8" t="s">
        <v>30</v>
      </c>
      <c r="F309" s="8">
        <v>135</v>
      </c>
      <c r="G309" s="8">
        <v>6.5</v>
      </c>
      <c r="H309" s="8">
        <v>21.02</v>
      </c>
      <c r="I309" s="8">
        <v>10</v>
      </c>
      <c r="J309" s="8">
        <v>6</v>
      </c>
    </row>
    <row r="310" spans="1:10">
      <c r="A310" s="8">
        <v>4276</v>
      </c>
      <c r="B310" s="8" t="s">
        <v>60</v>
      </c>
      <c r="C310" s="8" t="s">
        <v>45</v>
      </c>
      <c r="D310" s="8" t="s">
        <v>29</v>
      </c>
      <c r="E310" s="8" t="s">
        <v>38</v>
      </c>
      <c r="F310" s="8">
        <v>213</v>
      </c>
      <c r="G310" s="8">
        <v>7.9</v>
      </c>
      <c r="H310" s="8">
        <v>32.64</v>
      </c>
      <c r="I310" s="8">
        <v>8</v>
      </c>
      <c r="J310" s="8">
        <v>15</v>
      </c>
    </row>
    <row r="311" spans="1:10">
      <c r="A311" s="8">
        <v>4096</v>
      </c>
      <c r="B311" s="8" t="s">
        <v>61</v>
      </c>
      <c r="C311" s="8" t="s">
        <v>28</v>
      </c>
      <c r="D311" s="8" t="s">
        <v>47</v>
      </c>
      <c r="E311" s="8" t="s">
        <v>49</v>
      </c>
      <c r="F311" s="8">
        <v>317</v>
      </c>
      <c r="G311" s="8">
        <v>3.9</v>
      </c>
      <c r="H311" s="8">
        <v>89.69</v>
      </c>
      <c r="I311" s="8">
        <v>9.6999999999999993</v>
      </c>
      <c r="J311" s="8">
        <v>19</v>
      </c>
    </row>
    <row r="312" spans="1:10">
      <c r="A312" s="8">
        <v>4004</v>
      </c>
      <c r="B312" s="8" t="s">
        <v>55</v>
      </c>
      <c r="C312" s="8" t="s">
        <v>59</v>
      </c>
      <c r="D312" s="8" t="s">
        <v>41</v>
      </c>
      <c r="E312" s="8" t="s">
        <v>49</v>
      </c>
      <c r="F312" s="8">
        <v>174</v>
      </c>
      <c r="G312" s="8">
        <v>17.2</v>
      </c>
      <c r="H312" s="8">
        <v>69.91</v>
      </c>
      <c r="I312" s="8">
        <v>7.1</v>
      </c>
      <c r="J312" s="8">
        <v>7</v>
      </c>
    </row>
    <row r="313" spans="1:10">
      <c r="A313" s="8">
        <v>4266</v>
      </c>
      <c r="B313" s="8" t="s">
        <v>60</v>
      </c>
      <c r="C313" s="8" t="s">
        <v>52</v>
      </c>
      <c r="D313" s="8" t="s">
        <v>36</v>
      </c>
      <c r="E313" s="8" t="s">
        <v>42</v>
      </c>
      <c r="F313" s="8">
        <v>65</v>
      </c>
      <c r="G313" s="8">
        <v>0.8</v>
      </c>
      <c r="H313" s="8">
        <v>16.91</v>
      </c>
      <c r="I313" s="8">
        <v>7.5</v>
      </c>
      <c r="J313" s="8">
        <v>1</v>
      </c>
    </row>
    <row r="314" spans="1:10">
      <c r="A314" s="8">
        <v>4098</v>
      </c>
      <c r="B314" s="8" t="s">
        <v>58</v>
      </c>
      <c r="C314" s="8" t="s">
        <v>35</v>
      </c>
      <c r="D314" s="8" t="s">
        <v>41</v>
      </c>
      <c r="E314" s="8" t="s">
        <v>38</v>
      </c>
      <c r="F314" s="8">
        <v>209</v>
      </c>
      <c r="G314" s="8">
        <v>14.1</v>
      </c>
      <c r="H314" s="8">
        <v>99.66</v>
      </c>
      <c r="I314" s="8">
        <v>7</v>
      </c>
      <c r="J314" s="8">
        <v>15</v>
      </c>
    </row>
    <row r="315" spans="1:10">
      <c r="A315" s="8">
        <v>4165</v>
      </c>
      <c r="B315" s="8" t="s">
        <v>60</v>
      </c>
      <c r="C315" s="8" t="s">
        <v>28</v>
      </c>
      <c r="D315" s="8" t="s">
        <v>47</v>
      </c>
      <c r="E315" s="8" t="s">
        <v>38</v>
      </c>
      <c r="F315" s="8">
        <v>64</v>
      </c>
      <c r="G315" s="8">
        <v>6</v>
      </c>
      <c r="H315" s="8">
        <v>26.16</v>
      </c>
      <c r="I315" s="8">
        <v>7.7</v>
      </c>
      <c r="J315" s="8">
        <v>2</v>
      </c>
    </row>
    <row r="316" spans="1:10">
      <c r="A316" s="8">
        <v>4075</v>
      </c>
      <c r="B316" s="8" t="s">
        <v>40</v>
      </c>
      <c r="C316" s="8" t="s">
        <v>52</v>
      </c>
      <c r="D316" s="8" t="s">
        <v>29</v>
      </c>
      <c r="E316" s="8" t="s">
        <v>30</v>
      </c>
      <c r="F316" s="8">
        <v>189</v>
      </c>
      <c r="G316" s="8">
        <v>7.1</v>
      </c>
      <c r="H316" s="8">
        <v>97.58</v>
      </c>
      <c r="I316" s="8">
        <v>8.5</v>
      </c>
      <c r="J316" s="8">
        <v>13</v>
      </c>
    </row>
    <row r="317" spans="1:10">
      <c r="A317" s="8">
        <v>4321</v>
      </c>
      <c r="B317" s="8" t="s">
        <v>34</v>
      </c>
      <c r="C317" s="8" t="s">
        <v>52</v>
      </c>
      <c r="D317" s="8" t="s">
        <v>36</v>
      </c>
      <c r="E317" s="8" t="s">
        <v>42</v>
      </c>
      <c r="F317" s="8">
        <v>74</v>
      </c>
      <c r="G317" s="8">
        <v>2.9</v>
      </c>
      <c r="H317" s="8">
        <v>1</v>
      </c>
      <c r="I317" s="8">
        <v>10</v>
      </c>
      <c r="J317" s="8">
        <v>2</v>
      </c>
    </row>
    <row r="318" spans="1:10">
      <c r="A318" s="8">
        <v>4026</v>
      </c>
      <c r="B318" s="8" t="s">
        <v>40</v>
      </c>
      <c r="C318" s="8" t="s">
        <v>45</v>
      </c>
      <c r="D318" s="8" t="s">
        <v>41</v>
      </c>
      <c r="E318" s="8" t="s">
        <v>42</v>
      </c>
      <c r="F318" s="8">
        <v>46</v>
      </c>
      <c r="G318" s="8">
        <v>14.8</v>
      </c>
      <c r="H318" s="8">
        <v>27.84</v>
      </c>
      <c r="I318" s="8">
        <v>8.1999999999999993</v>
      </c>
      <c r="J318" s="8">
        <v>0</v>
      </c>
    </row>
    <row r="319" spans="1:10">
      <c r="A319" s="8">
        <v>4209</v>
      </c>
      <c r="B319" s="8" t="s">
        <v>58</v>
      </c>
      <c r="C319" s="8" t="s">
        <v>59</v>
      </c>
      <c r="D319" s="8" t="s">
        <v>47</v>
      </c>
      <c r="E319" s="8" t="s">
        <v>38</v>
      </c>
      <c r="F319" s="8">
        <v>195</v>
      </c>
      <c r="G319" s="8">
        <v>2.4</v>
      </c>
      <c r="H319" s="8">
        <v>95.83</v>
      </c>
      <c r="I319" s="8">
        <v>7</v>
      </c>
      <c r="J319" s="8">
        <v>12</v>
      </c>
    </row>
    <row r="320" spans="1:10">
      <c r="A320" s="8">
        <v>4072</v>
      </c>
      <c r="B320" s="8" t="s">
        <v>61</v>
      </c>
      <c r="C320" s="8" t="s">
        <v>35</v>
      </c>
      <c r="D320" s="8" t="s">
        <v>47</v>
      </c>
      <c r="E320" s="8" t="s">
        <v>38</v>
      </c>
      <c r="F320" s="8">
        <v>126</v>
      </c>
      <c r="G320" s="8">
        <v>0.2</v>
      </c>
      <c r="H320" s="8">
        <v>29.03</v>
      </c>
      <c r="I320" s="8">
        <v>7.2</v>
      </c>
      <c r="J320" s="8">
        <v>14</v>
      </c>
    </row>
    <row r="321" spans="1:10">
      <c r="A321" s="8">
        <v>4299</v>
      </c>
      <c r="B321" s="8" t="s">
        <v>44</v>
      </c>
      <c r="C321" s="8" t="s">
        <v>45</v>
      </c>
      <c r="D321" s="8" t="s">
        <v>41</v>
      </c>
      <c r="E321" s="8" t="s">
        <v>49</v>
      </c>
      <c r="F321" s="8">
        <v>193</v>
      </c>
      <c r="G321" s="8">
        <v>10.6</v>
      </c>
      <c r="H321" s="8">
        <v>44.08</v>
      </c>
      <c r="I321" s="8">
        <v>9.5</v>
      </c>
      <c r="J321" s="8">
        <v>13</v>
      </c>
    </row>
    <row r="322" spans="1:10">
      <c r="A322" s="8">
        <v>4214</v>
      </c>
      <c r="B322" s="8" t="s">
        <v>44</v>
      </c>
      <c r="C322" s="8" t="s">
        <v>35</v>
      </c>
      <c r="D322" s="8" t="s">
        <v>29</v>
      </c>
      <c r="E322" s="8" t="s">
        <v>42</v>
      </c>
      <c r="F322" s="8">
        <v>181</v>
      </c>
      <c r="G322" s="8">
        <v>1.6</v>
      </c>
      <c r="H322" s="8">
        <v>45.78</v>
      </c>
      <c r="I322" s="8">
        <v>8.8000000000000007</v>
      </c>
      <c r="J322" s="8">
        <v>9</v>
      </c>
    </row>
    <row r="323" spans="1:10">
      <c r="A323" s="8">
        <v>4282</v>
      </c>
      <c r="B323" s="8" t="s">
        <v>40</v>
      </c>
      <c r="C323" s="8" t="s">
        <v>52</v>
      </c>
      <c r="D323" s="8" t="s">
        <v>47</v>
      </c>
      <c r="E323" s="8" t="s">
        <v>42</v>
      </c>
      <c r="F323" s="8">
        <v>106</v>
      </c>
      <c r="G323" s="8">
        <v>5.4</v>
      </c>
      <c r="H323" s="8">
        <v>39.96</v>
      </c>
      <c r="I323" s="8">
        <v>7.5</v>
      </c>
      <c r="J323" s="8">
        <v>5</v>
      </c>
    </row>
    <row r="324" spans="1:10">
      <c r="A324" s="8">
        <v>4248</v>
      </c>
      <c r="B324" s="8" t="s">
        <v>60</v>
      </c>
      <c r="C324" s="8" t="s">
        <v>35</v>
      </c>
      <c r="D324" s="8" t="s">
        <v>47</v>
      </c>
      <c r="E324" s="8" t="s">
        <v>38</v>
      </c>
      <c r="F324" s="8">
        <v>33</v>
      </c>
      <c r="G324" s="8">
        <v>4.3</v>
      </c>
      <c r="H324" s="8">
        <v>13.7</v>
      </c>
      <c r="I324" s="8">
        <v>8</v>
      </c>
      <c r="J324" s="8">
        <v>0</v>
      </c>
    </row>
    <row r="325" spans="1:10">
      <c r="A325" s="8">
        <v>4172</v>
      </c>
      <c r="B325" s="8" t="s">
        <v>58</v>
      </c>
      <c r="C325" s="8" t="s">
        <v>45</v>
      </c>
      <c r="D325" s="8" t="s">
        <v>47</v>
      </c>
      <c r="E325" s="8" t="s">
        <v>49</v>
      </c>
      <c r="F325" s="8">
        <v>51</v>
      </c>
      <c r="G325" s="8">
        <v>2.7</v>
      </c>
      <c r="H325" s="8">
        <v>21.44</v>
      </c>
      <c r="I325" s="8">
        <v>7.8</v>
      </c>
      <c r="J325" s="8">
        <v>1</v>
      </c>
    </row>
    <row r="326" spans="1:10">
      <c r="A326" s="8">
        <v>4103</v>
      </c>
      <c r="B326" s="8" t="s">
        <v>34</v>
      </c>
      <c r="C326" s="8" t="s">
        <v>28</v>
      </c>
      <c r="D326" s="8" t="s">
        <v>29</v>
      </c>
      <c r="E326" s="8" t="s">
        <v>42</v>
      </c>
      <c r="F326" s="14">
        <v>141</v>
      </c>
      <c r="G326" s="8">
        <v>2.8</v>
      </c>
      <c r="H326" s="8">
        <v>80.569999999999993</v>
      </c>
      <c r="I326" s="8">
        <v>8.6999999999999993</v>
      </c>
      <c r="J326" s="8">
        <v>9</v>
      </c>
    </row>
    <row r="327" spans="1:10">
      <c r="A327" s="8">
        <v>4029</v>
      </c>
      <c r="B327" s="8" t="s">
        <v>34</v>
      </c>
      <c r="C327" s="8" t="s">
        <v>28</v>
      </c>
      <c r="D327" s="8" t="s">
        <v>36</v>
      </c>
      <c r="E327" s="8" t="s">
        <v>42</v>
      </c>
      <c r="F327" s="8">
        <v>220</v>
      </c>
      <c r="G327" s="8">
        <v>2.8</v>
      </c>
      <c r="H327" s="8">
        <v>49.53</v>
      </c>
      <c r="I327" s="8">
        <v>9.1999999999999993</v>
      </c>
      <c r="J327" s="8">
        <v>14</v>
      </c>
    </row>
  </sheetData>
  <autoFilter ref="A1:J327" xr:uid="{ABDB81E2-3E75-3A49-978E-476B5F1A9B48}"/>
  <conditionalFormatting sqref="A1:A327">
    <cfRule type="duplicateValues" dxfId="0"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0170-3E19-8449-9E2A-3AA48A4AA199}">
  <dimension ref="A3:G117"/>
  <sheetViews>
    <sheetView zoomScale="108" workbookViewId="0">
      <selection activeCell="D101" sqref="D101"/>
    </sheetView>
  </sheetViews>
  <sheetFormatPr baseColWidth="10" defaultRowHeight="15"/>
  <cols>
    <col min="1" max="1" width="31.83203125" bestFit="1" customWidth="1"/>
    <col min="2" max="2" width="14.83203125" bestFit="1" customWidth="1"/>
    <col min="3" max="3" width="13.1640625" bestFit="1" customWidth="1"/>
    <col min="4" max="4" width="14.5" bestFit="1" customWidth="1"/>
    <col min="5" max="6" width="12.1640625" bestFit="1" customWidth="1"/>
    <col min="7" max="7" width="10" bestFit="1" customWidth="1"/>
    <col min="8" max="9" width="7.6640625" bestFit="1" customWidth="1"/>
    <col min="10" max="10" width="10" bestFit="1" customWidth="1"/>
    <col min="11" max="11" width="17.33203125" bestFit="1" customWidth="1"/>
    <col min="12" max="18" width="7.6640625" bestFit="1" customWidth="1"/>
    <col min="19" max="19" width="19.6640625" bestFit="1" customWidth="1"/>
    <col min="20" max="20" width="10.5" bestFit="1" customWidth="1"/>
    <col min="21" max="27" width="7.6640625" bestFit="1" customWidth="1"/>
    <col min="28" max="28" width="12.6640625" bestFit="1" customWidth="1"/>
    <col min="29" max="29" width="18.5" bestFit="1" customWidth="1"/>
    <col min="30" max="36" width="7.6640625" bestFit="1" customWidth="1"/>
    <col min="37" max="37" width="20.6640625" bestFit="1" customWidth="1"/>
    <col min="38" max="38" width="12.5" bestFit="1" customWidth="1"/>
    <col min="39" max="45" width="7.6640625" bestFit="1" customWidth="1"/>
    <col min="46" max="46" width="14.6640625" bestFit="1" customWidth="1"/>
    <col min="47" max="47" width="10" bestFit="1" customWidth="1"/>
  </cols>
  <sheetData>
    <row r="3" spans="1:2" ht="48">
      <c r="A3" s="22" t="s">
        <v>88</v>
      </c>
      <c r="B3" s="35" t="s">
        <v>90</v>
      </c>
    </row>
    <row r="4" spans="1:2">
      <c r="A4" s="23" t="s">
        <v>60</v>
      </c>
      <c r="B4" s="28">
        <v>6.3187500000000005</v>
      </c>
    </row>
    <row r="5" spans="1:2">
      <c r="A5" s="23" t="s">
        <v>61</v>
      </c>
      <c r="B5" s="28">
        <v>5.2093750000000005</v>
      </c>
    </row>
    <row r="6" spans="1:2">
      <c r="A6" s="23" t="s">
        <v>34</v>
      </c>
      <c r="B6" s="28">
        <v>5.638461538461538</v>
      </c>
    </row>
    <row r="7" spans="1:2">
      <c r="A7" s="23" t="s">
        <v>27</v>
      </c>
      <c r="B7" s="28">
        <v>6.5113636363636367</v>
      </c>
    </row>
    <row r="8" spans="1:2">
      <c r="A8" s="23" t="s">
        <v>55</v>
      </c>
      <c r="B8" s="28">
        <v>6.256756756756757</v>
      </c>
    </row>
    <row r="9" spans="1:2">
      <c r="A9" s="23" t="s">
        <v>40</v>
      </c>
      <c r="B9" s="28">
        <v>8.4545454545454533</v>
      </c>
    </row>
    <row r="10" spans="1:2">
      <c r="A10" s="23" t="s">
        <v>44</v>
      </c>
      <c r="B10" s="28">
        <v>7.1619047619047649</v>
      </c>
    </row>
    <row r="11" spans="1:2">
      <c r="A11" s="23" t="s">
        <v>58</v>
      </c>
      <c r="B11" s="28">
        <v>4.489473684210525</v>
      </c>
    </row>
    <row r="12" spans="1:2">
      <c r="A12" s="23" t="s">
        <v>89</v>
      </c>
      <c r="B12" s="28">
        <v>6.2319018404907949</v>
      </c>
    </row>
    <row r="19" spans="1:7">
      <c r="A19" s="22" t="s">
        <v>92</v>
      </c>
      <c r="B19" s="22" t="s">
        <v>91</v>
      </c>
    </row>
    <row r="20" spans="1:7">
      <c r="A20" s="22" t="s">
        <v>88</v>
      </c>
      <c r="B20" t="s">
        <v>30</v>
      </c>
      <c r="C20" t="s">
        <v>49</v>
      </c>
      <c r="D20" t="s">
        <v>38</v>
      </c>
      <c r="E20" t="s">
        <v>53</v>
      </c>
      <c r="F20" t="s">
        <v>42</v>
      </c>
      <c r="G20" t="s">
        <v>89</v>
      </c>
    </row>
    <row r="21" spans="1:7">
      <c r="A21" s="23" t="s">
        <v>60</v>
      </c>
      <c r="B21" s="86">
        <v>1249</v>
      </c>
      <c r="C21" s="86">
        <v>1814</v>
      </c>
      <c r="D21" s="86">
        <v>1891</v>
      </c>
      <c r="E21" s="86">
        <v>989</v>
      </c>
      <c r="F21" s="86">
        <v>882</v>
      </c>
      <c r="G21" s="86">
        <v>6825</v>
      </c>
    </row>
    <row r="22" spans="1:7">
      <c r="A22" s="23" t="s">
        <v>61</v>
      </c>
      <c r="B22" s="86">
        <v>1122</v>
      </c>
      <c r="C22" s="86">
        <v>820</v>
      </c>
      <c r="D22" s="86">
        <v>734</v>
      </c>
      <c r="E22" s="86">
        <v>755</v>
      </c>
      <c r="F22" s="86">
        <v>665</v>
      </c>
      <c r="G22" s="86">
        <v>4096</v>
      </c>
    </row>
    <row r="23" spans="1:7">
      <c r="A23" s="23" t="s">
        <v>34</v>
      </c>
      <c r="B23" s="86">
        <v>2326</v>
      </c>
      <c r="C23" s="86">
        <v>1591</v>
      </c>
      <c r="D23" s="86">
        <v>1275</v>
      </c>
      <c r="E23" s="86">
        <v>1378</v>
      </c>
      <c r="F23" s="86">
        <v>1402</v>
      </c>
      <c r="G23" s="86">
        <v>7972</v>
      </c>
    </row>
    <row r="24" spans="1:7">
      <c r="A24" s="23" t="s">
        <v>27</v>
      </c>
      <c r="B24" s="86">
        <v>1040</v>
      </c>
      <c r="C24" s="86">
        <v>1562</v>
      </c>
      <c r="D24" s="86">
        <v>1349</v>
      </c>
      <c r="E24" s="86">
        <v>1411</v>
      </c>
      <c r="F24" s="86">
        <v>1057</v>
      </c>
      <c r="G24" s="86">
        <v>6419</v>
      </c>
    </row>
    <row r="25" spans="1:7">
      <c r="A25" s="23" t="s">
        <v>55</v>
      </c>
      <c r="B25" s="86">
        <v>802</v>
      </c>
      <c r="C25" s="86">
        <v>880</v>
      </c>
      <c r="D25" s="86">
        <v>947</v>
      </c>
      <c r="E25" s="86">
        <v>811</v>
      </c>
      <c r="F25" s="86">
        <v>1242</v>
      </c>
      <c r="G25" s="86">
        <v>4682</v>
      </c>
    </row>
    <row r="26" spans="1:7">
      <c r="A26" s="23" t="s">
        <v>40</v>
      </c>
      <c r="B26" s="86">
        <v>893</v>
      </c>
      <c r="C26" s="86">
        <v>1171</v>
      </c>
      <c r="D26" s="86">
        <v>273</v>
      </c>
      <c r="E26" s="86">
        <v>1115</v>
      </c>
      <c r="F26" s="86">
        <v>981</v>
      </c>
      <c r="G26" s="86">
        <v>4433</v>
      </c>
    </row>
    <row r="27" spans="1:7">
      <c r="A27" s="23" t="s">
        <v>44</v>
      </c>
      <c r="B27" s="86">
        <v>1129</v>
      </c>
      <c r="C27" s="86">
        <v>910</v>
      </c>
      <c r="D27" s="86">
        <v>1594</v>
      </c>
      <c r="E27" s="86">
        <v>1089</v>
      </c>
      <c r="F27" s="86">
        <v>898</v>
      </c>
      <c r="G27" s="86">
        <v>5620</v>
      </c>
    </row>
    <row r="28" spans="1:7">
      <c r="A28" s="23" t="s">
        <v>58</v>
      </c>
      <c r="B28" s="86">
        <v>1065</v>
      </c>
      <c r="C28" s="86">
        <v>910</v>
      </c>
      <c r="D28" s="86">
        <v>1823</v>
      </c>
      <c r="E28" s="86">
        <v>939</v>
      </c>
      <c r="F28" s="86">
        <v>911</v>
      </c>
      <c r="G28" s="86">
        <v>5648</v>
      </c>
    </row>
    <row r="29" spans="1:7">
      <c r="A29" s="23" t="s">
        <v>89</v>
      </c>
      <c r="B29" s="86">
        <v>9626</v>
      </c>
      <c r="C29" s="86">
        <v>9658</v>
      </c>
      <c r="D29" s="86">
        <v>9886</v>
      </c>
      <c r="E29" s="86">
        <v>8487</v>
      </c>
      <c r="F29" s="86">
        <v>8038</v>
      </c>
      <c r="G29" s="86">
        <v>45695</v>
      </c>
    </row>
    <row r="31" spans="1:7" ht="19">
      <c r="A31" s="24"/>
    </row>
    <row r="32" spans="1:7">
      <c r="A32" s="25"/>
    </row>
    <row r="33" spans="1:7">
      <c r="A33" s="12"/>
      <c r="B33" s="12"/>
      <c r="C33" s="12"/>
    </row>
    <row r="34" spans="1:7">
      <c r="A34" s="26"/>
    </row>
    <row r="35" spans="1:7">
      <c r="A35" s="26"/>
    </row>
    <row r="36" spans="1:7">
      <c r="A36" s="26"/>
    </row>
    <row r="37" spans="1:7">
      <c r="A37" s="26"/>
    </row>
    <row r="38" spans="1:7">
      <c r="A38" s="26"/>
    </row>
    <row r="40" spans="1:7">
      <c r="A40" s="22" t="s">
        <v>88</v>
      </c>
      <c r="B40" t="s">
        <v>92</v>
      </c>
      <c r="C40" t="s">
        <v>93</v>
      </c>
      <c r="E40" s="12" t="s">
        <v>94</v>
      </c>
      <c r="F40" s="12"/>
      <c r="G40" s="12" t="s">
        <v>95</v>
      </c>
    </row>
    <row r="41" spans="1:7">
      <c r="A41" s="23" t="s">
        <v>45</v>
      </c>
      <c r="B41" s="86">
        <v>9812</v>
      </c>
      <c r="C41" s="86">
        <v>3657.3700000000003</v>
      </c>
      <c r="E41" s="30">
        <f>GETPIVOTDATA("Sum of Operating Cost INR Lakh",$A$40,"Region","Central India")/GETPIVOTDATA("Sum of Units Sold",$A$40,"Region","Central India")</f>
        <v>0.37274459845087649</v>
      </c>
      <c r="F41" s="29"/>
    </row>
    <row r="42" spans="1:7">
      <c r="A42" s="23" t="s">
        <v>52</v>
      </c>
      <c r="B42" s="86">
        <v>6790</v>
      </c>
      <c r="C42" s="86">
        <v>2176.23</v>
      </c>
      <c r="E42" s="27">
        <f>GETPIVOTDATA("Sum of Operating Cost INR Lakh",$A$40,"Region","East India")/GETPIVOTDATA("Sum of Units Sold",$A$40,"Region","East India")</f>
        <v>0.32050515463917528</v>
      </c>
    </row>
    <row r="43" spans="1:7">
      <c r="A43" s="23" t="s">
        <v>59</v>
      </c>
      <c r="B43" s="86">
        <v>8804</v>
      </c>
      <c r="C43" s="86">
        <v>3299.0199999999995</v>
      </c>
      <c r="E43" s="27">
        <f>GETPIVOTDATA("Sum of Operating Cost INR Lakh",$A$40,"Region","North India")/GETPIVOTDATA("Sum of Units Sold",$A$40,"Region","North India")</f>
        <v>0.37471830985915489</v>
      </c>
    </row>
    <row r="44" spans="1:7">
      <c r="A44" s="23" t="s">
        <v>35</v>
      </c>
      <c r="B44" s="86">
        <v>9720</v>
      </c>
      <c r="C44" s="86">
        <v>3334.7899999999991</v>
      </c>
      <c r="E44" s="27">
        <f>GETPIVOTDATA("Sum of Operating Cost INR Lakh",$A$40,"Region","South India")/GETPIVOTDATA("Sum of Units Sold",$A$40,"Region","South India")</f>
        <v>0.34308539094650198</v>
      </c>
    </row>
    <row r="45" spans="1:7">
      <c r="A45" s="23" t="s">
        <v>28</v>
      </c>
      <c r="B45" s="86">
        <v>10569</v>
      </c>
      <c r="C45" s="86">
        <v>3570.8399999999988</v>
      </c>
      <c r="E45" s="27">
        <f>GETPIVOTDATA("Sum of Operating Cost INR Lakh",$A$40,"Region","West India")/GETPIVOTDATA("Sum of Units Sold",$A$40,"Region","West India")</f>
        <v>0.33785977859778588</v>
      </c>
    </row>
    <row r="46" spans="1:7">
      <c r="A46" s="23" t="s">
        <v>89</v>
      </c>
      <c r="B46" s="86">
        <v>45695</v>
      </c>
      <c r="C46" s="86">
        <v>16038.249999999996</v>
      </c>
    </row>
    <row r="48" spans="1:7">
      <c r="B48" s="12" t="s">
        <v>9</v>
      </c>
      <c r="C48" s="32" t="s">
        <v>94</v>
      </c>
    </row>
    <row r="49" spans="1:3">
      <c r="B49" s="23" t="s">
        <v>45</v>
      </c>
      <c r="C49" s="31">
        <v>37300</v>
      </c>
    </row>
    <row r="50" spans="1:3">
      <c r="B50" s="23" t="s">
        <v>52</v>
      </c>
      <c r="C50" s="31">
        <v>32100</v>
      </c>
    </row>
    <row r="51" spans="1:3">
      <c r="B51" s="23" t="s">
        <v>59</v>
      </c>
      <c r="C51" s="31">
        <v>37500</v>
      </c>
    </row>
    <row r="52" spans="1:3">
      <c r="B52" s="23" t="s">
        <v>35</v>
      </c>
      <c r="C52" s="31">
        <v>34300</v>
      </c>
    </row>
    <row r="53" spans="1:3">
      <c r="B53" s="23" t="s">
        <v>28</v>
      </c>
      <c r="C53" s="31">
        <v>33800</v>
      </c>
    </row>
    <row r="64" spans="1:3">
      <c r="A64" s="22" t="s">
        <v>88</v>
      </c>
      <c r="B64" t="s">
        <v>90</v>
      </c>
    </row>
    <row r="65" spans="1:2">
      <c r="A65" s="23" t="s">
        <v>47</v>
      </c>
      <c r="B65" s="86">
        <v>3.830337078651687</v>
      </c>
    </row>
    <row r="66" spans="1:2">
      <c r="A66" s="23" t="s">
        <v>41</v>
      </c>
      <c r="B66" s="86">
        <v>12.47</v>
      </c>
    </row>
    <row r="67" spans="1:2">
      <c r="A67" s="23" t="s">
        <v>29</v>
      </c>
      <c r="B67" s="86">
        <v>7.0679487179487142</v>
      </c>
    </row>
    <row r="68" spans="1:2">
      <c r="A68" s="23" t="s">
        <v>36</v>
      </c>
      <c r="B68" s="86">
        <v>2.9943820224719109</v>
      </c>
    </row>
    <row r="69" spans="1:2">
      <c r="A69" s="23" t="s">
        <v>89</v>
      </c>
      <c r="B69" s="86">
        <v>6.2319018404907967</v>
      </c>
    </row>
    <row r="83" spans="1:6">
      <c r="A83" s="22" t="s">
        <v>96</v>
      </c>
      <c r="B83" s="22" t="s">
        <v>91</v>
      </c>
    </row>
    <row r="84" spans="1:6">
      <c r="A84" s="22" t="s">
        <v>88</v>
      </c>
      <c r="B84" t="s">
        <v>47</v>
      </c>
      <c r="C84" t="s">
        <v>41</v>
      </c>
      <c r="D84" t="s">
        <v>29</v>
      </c>
      <c r="E84" t="s">
        <v>36</v>
      </c>
      <c r="F84" t="s">
        <v>89</v>
      </c>
    </row>
    <row r="85" spans="1:6">
      <c r="A85" s="23" t="s">
        <v>45</v>
      </c>
      <c r="B85" s="86">
        <v>8.0950000000000006</v>
      </c>
      <c r="C85" s="86">
        <v>8.5388888888888879</v>
      </c>
      <c r="D85" s="86">
        <v>8.1</v>
      </c>
      <c r="E85" s="86">
        <v>7.8166666666666647</v>
      </c>
      <c r="F85" s="86">
        <v>8.1369863013698662</v>
      </c>
    </row>
    <row r="86" spans="1:6">
      <c r="A86" s="23" t="s">
        <v>52</v>
      </c>
      <c r="B86" s="86">
        <v>7.9764705882352951</v>
      </c>
      <c r="C86" s="86">
        <v>8.1666666666666679</v>
      </c>
      <c r="D86" s="86">
        <v>8.1733333333333338</v>
      </c>
      <c r="E86" s="86">
        <v>7.85</v>
      </c>
      <c r="F86" s="86">
        <v>8.0576923076923084</v>
      </c>
    </row>
    <row r="87" spans="1:6">
      <c r="A87" s="23" t="s">
        <v>59</v>
      </c>
      <c r="B87" s="86">
        <v>7.8999999999999995</v>
      </c>
      <c r="C87" s="86">
        <v>7.6454545454545446</v>
      </c>
      <c r="D87" s="86">
        <v>8.52</v>
      </c>
      <c r="E87" s="86">
        <v>8.0521739130434771</v>
      </c>
      <c r="F87" s="86">
        <v>8.0149999999999988</v>
      </c>
    </row>
    <row r="88" spans="1:6">
      <c r="A88" s="23" t="s">
        <v>35</v>
      </c>
      <c r="B88" s="86">
        <v>7.5470588235294125</v>
      </c>
      <c r="C88" s="86">
        <v>8.2562499999999996</v>
      </c>
      <c r="D88" s="86">
        <v>7.8222222222222229</v>
      </c>
      <c r="E88" s="86">
        <v>8.052941176470588</v>
      </c>
      <c r="F88" s="86">
        <v>7.913235294117646</v>
      </c>
    </row>
    <row r="89" spans="1:6">
      <c r="A89" s="23" t="s">
        <v>28</v>
      </c>
      <c r="B89" s="86">
        <v>8.1789473684210527</v>
      </c>
      <c r="C89" s="86">
        <v>7.7999999999999989</v>
      </c>
      <c r="D89" s="86">
        <v>8.2777777777777786</v>
      </c>
      <c r="E89" s="86">
        <v>7.9565217391304346</v>
      </c>
      <c r="F89" s="86">
        <v>8.0657534246575331</v>
      </c>
    </row>
    <row r="90" spans="1:6">
      <c r="A90" s="23" t="s">
        <v>89</v>
      </c>
      <c r="B90" s="86">
        <v>7.9505617977528118</v>
      </c>
      <c r="C90" s="86">
        <v>8.1328571428571426</v>
      </c>
      <c r="D90" s="86">
        <v>8.1448717948717935</v>
      </c>
      <c r="E90" s="86">
        <v>7.9617977528089874</v>
      </c>
      <c r="F90" s="86">
        <v>8.0392638036809814</v>
      </c>
    </row>
    <row r="100" spans="3:5">
      <c r="C100" s="36"/>
      <c r="D100" s="37"/>
      <c r="E100" s="38"/>
    </row>
    <row r="101" spans="3:5">
      <c r="C101" s="39"/>
      <c r="D101" s="40"/>
      <c r="E101" s="41"/>
    </row>
    <row r="102" spans="3:5">
      <c r="C102" s="39"/>
      <c r="D102" s="40"/>
      <c r="E102" s="41"/>
    </row>
    <row r="103" spans="3:5">
      <c r="C103" s="39"/>
      <c r="D103" s="40"/>
      <c r="E103" s="41"/>
    </row>
    <row r="104" spans="3:5">
      <c r="C104" s="39"/>
      <c r="D104" s="40"/>
      <c r="E104" s="41"/>
    </row>
    <row r="105" spans="3:5">
      <c r="C105" s="39"/>
      <c r="D105" s="40"/>
      <c r="E105" s="41"/>
    </row>
    <row r="106" spans="3:5">
      <c r="C106" s="39"/>
      <c r="D106" s="40"/>
      <c r="E106" s="41"/>
    </row>
    <row r="107" spans="3:5">
      <c r="C107" s="39"/>
      <c r="D107" s="40"/>
      <c r="E107" s="41"/>
    </row>
    <row r="108" spans="3:5">
      <c r="C108" s="39"/>
      <c r="D108" s="40"/>
      <c r="E108" s="41"/>
    </row>
    <row r="109" spans="3:5">
      <c r="C109" s="39"/>
      <c r="D109" s="40"/>
      <c r="E109" s="41"/>
    </row>
    <row r="110" spans="3:5">
      <c r="C110" s="39"/>
      <c r="D110" s="40"/>
      <c r="E110" s="41"/>
    </row>
    <row r="111" spans="3:5">
      <c r="C111" s="39"/>
      <c r="D111" s="40"/>
      <c r="E111" s="41"/>
    </row>
    <row r="112" spans="3:5">
      <c r="C112" s="39"/>
      <c r="D112" s="40"/>
      <c r="E112" s="41"/>
    </row>
    <row r="113" spans="3:5">
      <c r="C113" s="39"/>
      <c r="D113" s="40"/>
      <c r="E113" s="41"/>
    </row>
    <row r="114" spans="3:5">
      <c r="C114" s="39"/>
      <c r="D114" s="40"/>
      <c r="E114" s="41"/>
    </row>
    <row r="115" spans="3:5">
      <c r="C115" s="39"/>
      <c r="D115" s="40"/>
      <c r="E115" s="41"/>
    </row>
    <row r="116" spans="3:5">
      <c r="C116" s="39"/>
      <c r="D116" s="40"/>
      <c r="E116" s="41"/>
    </row>
    <row r="117" spans="3:5">
      <c r="C117" s="42"/>
      <c r="D117" s="43"/>
      <c r="E117" s="44"/>
    </row>
  </sheetData>
  <pageMargins left="0.7" right="0.7" top="0.75" bottom="0.75" header="0.3" footer="0.3"/>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A7830-1CD2-1D46-86F2-8B50E6C603B6}">
  <dimension ref="B1:R49"/>
  <sheetViews>
    <sheetView showGridLines="0" tabSelected="1" zoomScale="67" workbookViewId="0">
      <selection activeCell="Y31" sqref="Y31"/>
    </sheetView>
  </sheetViews>
  <sheetFormatPr baseColWidth="10" defaultRowHeight="15"/>
  <cols>
    <col min="2" max="9" width="14.6640625" customWidth="1"/>
    <col min="10" max="11" width="3.33203125" customWidth="1"/>
    <col min="12" max="13" width="16" customWidth="1"/>
    <col min="14" max="15" width="3.33203125" customWidth="1"/>
    <col min="16" max="17" width="16" customWidth="1"/>
  </cols>
  <sheetData>
    <row r="1" spans="2:18" ht="31" customHeight="1">
      <c r="B1" s="48"/>
      <c r="C1" s="48"/>
      <c r="D1" s="48"/>
      <c r="E1" s="49"/>
      <c r="F1" s="62" t="s">
        <v>97</v>
      </c>
      <c r="G1" s="62"/>
      <c r="H1" s="62"/>
      <c r="I1" s="62"/>
      <c r="J1" s="62"/>
      <c r="K1" s="62"/>
      <c r="L1" s="62"/>
      <c r="M1" s="62"/>
      <c r="N1" s="49"/>
      <c r="O1" s="49"/>
      <c r="P1" s="48"/>
      <c r="Q1" s="48"/>
    </row>
    <row r="2" spans="2:18" ht="20" customHeight="1">
      <c r="B2" s="48"/>
      <c r="C2" s="48"/>
      <c r="D2" s="48"/>
      <c r="E2" s="48"/>
      <c r="F2" s="48"/>
      <c r="G2" s="48"/>
      <c r="H2" s="48"/>
      <c r="I2" s="48"/>
      <c r="J2" s="63" t="s">
        <v>98</v>
      </c>
      <c r="K2" s="63"/>
      <c r="L2" s="64"/>
      <c r="M2" s="64"/>
      <c r="N2" s="48"/>
      <c r="O2" s="48"/>
      <c r="P2" s="48"/>
      <c r="Q2" s="48"/>
    </row>
    <row r="3" spans="2:18" ht="10" customHeight="1">
      <c r="B3" s="45"/>
      <c r="C3" s="45"/>
      <c r="D3" s="45"/>
      <c r="E3" s="45"/>
      <c r="F3" s="45"/>
      <c r="G3" s="45"/>
      <c r="H3" s="45"/>
      <c r="I3" s="45"/>
      <c r="J3" s="46"/>
      <c r="K3" s="45"/>
      <c r="L3" s="45"/>
      <c r="M3" s="45"/>
      <c r="N3" s="45"/>
      <c r="O3" s="45"/>
      <c r="P3" s="45"/>
      <c r="Q3" s="45"/>
    </row>
    <row r="4" spans="2:18" ht="10" customHeight="1" thickBot="1">
      <c r="B4" s="45"/>
      <c r="C4" s="45"/>
      <c r="D4" s="45"/>
      <c r="E4" s="45"/>
      <c r="F4" s="45"/>
      <c r="G4" s="45"/>
      <c r="H4" s="45"/>
      <c r="I4" s="45"/>
      <c r="J4" s="45"/>
      <c r="K4" s="45"/>
      <c r="L4" s="45"/>
      <c r="M4" s="45"/>
      <c r="N4" s="45"/>
      <c r="O4" s="45"/>
      <c r="P4" s="45"/>
      <c r="Q4" s="45"/>
    </row>
    <row r="5" spans="2:18" ht="20" customHeight="1" thickTop="1">
      <c r="B5" s="45"/>
      <c r="C5" s="83" t="s">
        <v>99</v>
      </c>
      <c r="D5" s="84"/>
      <c r="E5" s="85"/>
      <c r="F5" s="45"/>
      <c r="G5" s="83" t="s">
        <v>101</v>
      </c>
      <c r="H5" s="84"/>
      <c r="I5" s="85"/>
      <c r="J5" s="45"/>
      <c r="K5" s="45"/>
      <c r="L5" s="68" t="s">
        <v>102</v>
      </c>
      <c r="M5" s="69"/>
      <c r="N5" s="47"/>
      <c r="O5" s="45"/>
      <c r="P5" s="68" t="s">
        <v>105</v>
      </c>
      <c r="Q5" s="50"/>
    </row>
    <row r="6" spans="2:18" ht="29" customHeight="1">
      <c r="B6" s="45"/>
      <c r="C6" s="51"/>
      <c r="D6" s="65">
        <f>GETPIVOTDATA("Units Sold",'Pivot Table '!$A$19)</f>
        <v>45695</v>
      </c>
      <c r="E6" s="52"/>
      <c r="F6" s="45"/>
      <c r="G6" s="51"/>
      <c r="H6" s="34">
        <f>GETPIVOTDATA("Sum of Operating Cost INR Lakh",'Pivot Table '!$A$40)</f>
        <v>16038.249999999996</v>
      </c>
      <c r="I6" s="71" t="s">
        <v>103</v>
      </c>
      <c r="J6" s="45"/>
      <c r="K6" s="45"/>
      <c r="L6" s="77">
        <f>GETPIVOTDATA("Avg Checkout Time Minutes",'Pivot Table '!$A$3)</f>
        <v>6.2319018404907949</v>
      </c>
      <c r="M6" s="78"/>
      <c r="N6" s="45"/>
      <c r="O6" s="45"/>
      <c r="P6" s="51"/>
      <c r="Q6" s="70">
        <v>7.78</v>
      </c>
    </row>
    <row r="7" spans="2:18" ht="19" customHeight="1">
      <c r="B7" s="45"/>
      <c r="C7" s="53"/>
      <c r="D7" s="72" t="s">
        <v>100</v>
      </c>
      <c r="E7" s="54"/>
      <c r="F7" s="45"/>
      <c r="G7" s="81" t="s">
        <v>100</v>
      </c>
      <c r="H7" s="82"/>
      <c r="I7" s="54"/>
      <c r="J7" s="45"/>
      <c r="K7" s="45"/>
      <c r="L7" s="79" t="s">
        <v>104</v>
      </c>
      <c r="M7" s="80"/>
      <c r="N7" s="67"/>
      <c r="O7" s="67"/>
      <c r="P7" s="66"/>
      <c r="Q7" s="73" t="s">
        <v>106</v>
      </c>
      <c r="R7" s="33"/>
    </row>
    <row r="8" spans="2:18" ht="10" customHeight="1">
      <c r="B8" s="45"/>
      <c r="C8" s="45"/>
      <c r="D8" s="45"/>
      <c r="E8" s="45"/>
      <c r="F8" s="45"/>
      <c r="G8" s="45"/>
      <c r="H8" s="45"/>
      <c r="I8" s="45"/>
      <c r="J8" s="45"/>
      <c r="K8" s="45"/>
      <c r="L8" s="45"/>
      <c r="M8" s="45"/>
      <c r="N8" s="45"/>
      <c r="O8" s="45"/>
      <c r="P8" s="45"/>
      <c r="Q8" s="45"/>
    </row>
    <row r="9" spans="2:18" ht="15" customHeight="1">
      <c r="B9" s="45"/>
      <c r="C9" s="45"/>
      <c r="D9" s="45"/>
      <c r="E9" s="45"/>
      <c r="F9" s="45"/>
      <c r="G9" s="45"/>
      <c r="H9" s="45"/>
      <c r="I9" s="45"/>
      <c r="J9" s="45"/>
      <c r="K9" s="45"/>
      <c r="L9" s="45"/>
      <c r="M9" s="45"/>
      <c r="N9" s="45"/>
      <c r="O9" s="45"/>
      <c r="P9" s="45"/>
      <c r="Q9" s="45"/>
    </row>
    <row r="10" spans="2:18">
      <c r="B10" s="45"/>
      <c r="C10" s="45"/>
      <c r="D10" s="45"/>
      <c r="E10" s="45"/>
      <c r="F10" s="45"/>
      <c r="G10" s="45"/>
      <c r="H10" s="45"/>
      <c r="I10" s="45"/>
      <c r="J10" s="45"/>
      <c r="K10" s="45"/>
      <c r="L10" s="45"/>
      <c r="M10" s="45"/>
      <c r="N10" s="45"/>
      <c r="O10" s="45"/>
      <c r="P10" s="45"/>
      <c r="Q10" s="45"/>
    </row>
    <row r="11" spans="2:18">
      <c r="B11" s="45"/>
      <c r="C11" s="45"/>
      <c r="D11" s="45"/>
      <c r="E11" s="45"/>
      <c r="F11" s="45"/>
      <c r="G11" s="45"/>
      <c r="H11" s="45"/>
      <c r="I11" s="45"/>
      <c r="J11" s="45"/>
      <c r="K11" s="45"/>
      <c r="L11" s="45"/>
      <c r="M11" s="45"/>
      <c r="N11" s="45"/>
      <c r="O11" s="45"/>
      <c r="P11" s="45"/>
      <c r="Q11" s="45"/>
    </row>
    <row r="12" spans="2:18">
      <c r="B12" s="45"/>
      <c r="C12" s="45"/>
      <c r="D12" s="45"/>
      <c r="E12" s="45"/>
      <c r="F12" s="45"/>
      <c r="G12" s="45"/>
      <c r="H12" s="45"/>
      <c r="I12" s="45"/>
      <c r="J12" s="45"/>
      <c r="K12" s="45"/>
      <c r="L12" s="45"/>
      <c r="M12" s="45"/>
      <c r="N12" s="45"/>
      <c r="O12" s="45"/>
      <c r="P12" s="45"/>
      <c r="Q12" s="45"/>
    </row>
    <row r="13" spans="2:18">
      <c r="B13" s="45"/>
      <c r="C13" s="45"/>
      <c r="D13" s="45"/>
      <c r="E13" s="45"/>
      <c r="F13" s="45"/>
      <c r="G13" s="45"/>
      <c r="H13" s="45"/>
      <c r="I13" s="45"/>
      <c r="J13" s="45"/>
      <c r="K13" s="45"/>
      <c r="L13" s="45"/>
      <c r="M13" s="45"/>
      <c r="N13" s="45"/>
      <c r="O13" s="45"/>
      <c r="P13" s="45"/>
      <c r="Q13" s="45"/>
    </row>
    <row r="14" spans="2:18">
      <c r="B14" s="45"/>
      <c r="C14" s="45"/>
      <c r="D14" s="45"/>
      <c r="E14" s="45"/>
      <c r="F14" s="45"/>
      <c r="G14" s="45"/>
      <c r="H14" s="45"/>
      <c r="I14" s="45"/>
      <c r="J14" s="45"/>
      <c r="K14" s="45"/>
      <c r="L14" s="45"/>
      <c r="M14" s="45"/>
      <c r="N14" s="45"/>
      <c r="O14" s="45"/>
      <c r="P14" s="45"/>
      <c r="Q14" s="45"/>
    </row>
    <row r="15" spans="2:18">
      <c r="B15" s="45"/>
      <c r="C15" s="45"/>
      <c r="D15" s="45"/>
      <c r="E15" s="45"/>
      <c r="F15" s="45"/>
      <c r="G15" s="45"/>
      <c r="H15" s="45"/>
      <c r="I15" s="45"/>
      <c r="J15" s="45"/>
      <c r="K15" s="45"/>
      <c r="L15" s="45"/>
      <c r="M15" s="45"/>
      <c r="N15" s="45"/>
      <c r="O15" s="45"/>
      <c r="P15" s="45"/>
      <c r="Q15" s="45"/>
    </row>
    <row r="16" spans="2:18">
      <c r="B16" s="45"/>
      <c r="C16" s="45"/>
      <c r="D16" s="45"/>
      <c r="E16" s="45"/>
      <c r="F16" s="45"/>
      <c r="G16" s="45"/>
      <c r="H16" s="45"/>
      <c r="I16" s="45"/>
      <c r="J16" s="45"/>
      <c r="K16" s="45"/>
      <c r="L16" s="45"/>
      <c r="M16" s="45"/>
      <c r="N16" s="45"/>
      <c r="O16" s="45"/>
      <c r="P16" s="45"/>
      <c r="Q16" s="45"/>
    </row>
    <row r="17" spans="2:17">
      <c r="B17" s="45"/>
      <c r="C17" s="45"/>
      <c r="D17" s="45"/>
      <c r="E17" s="45"/>
      <c r="F17" s="45"/>
      <c r="G17" s="45"/>
      <c r="H17" s="45"/>
      <c r="I17" s="45"/>
      <c r="J17" s="45"/>
      <c r="K17" s="45"/>
      <c r="L17" s="45"/>
      <c r="M17" s="45"/>
      <c r="N17" s="47"/>
      <c r="O17" s="45"/>
      <c r="P17" s="45"/>
      <c r="Q17" s="45"/>
    </row>
    <row r="18" spans="2:17">
      <c r="B18" s="45"/>
      <c r="C18" s="45"/>
      <c r="D18" s="45"/>
      <c r="E18" s="45"/>
      <c r="F18" s="45"/>
      <c r="G18" s="45"/>
      <c r="H18" s="45"/>
      <c r="I18" s="45"/>
      <c r="J18" s="45"/>
      <c r="K18" s="45"/>
      <c r="L18" s="45"/>
      <c r="M18" s="45"/>
      <c r="N18" s="45"/>
      <c r="O18" s="45"/>
      <c r="P18" s="45"/>
      <c r="Q18" s="45"/>
    </row>
    <row r="19" spans="2:17">
      <c r="B19" s="45"/>
      <c r="C19" s="45"/>
      <c r="D19" s="45"/>
      <c r="E19" s="45"/>
      <c r="F19" s="45"/>
      <c r="G19" s="45"/>
      <c r="H19" s="45"/>
      <c r="I19" s="45"/>
      <c r="J19" s="45"/>
      <c r="K19" s="45"/>
      <c r="L19" s="45"/>
      <c r="M19" s="45"/>
      <c r="N19" s="45"/>
      <c r="O19" s="45"/>
      <c r="P19" s="45"/>
      <c r="Q19" s="45"/>
    </row>
    <row r="20" spans="2:17">
      <c r="B20" s="45"/>
      <c r="C20" s="45"/>
      <c r="D20" s="45"/>
      <c r="E20" s="45"/>
      <c r="F20" s="45"/>
      <c r="G20" s="45"/>
      <c r="H20" s="45"/>
      <c r="I20" s="45"/>
      <c r="J20" s="45"/>
      <c r="K20" s="45"/>
      <c r="L20" s="45"/>
      <c r="M20" s="45"/>
      <c r="N20" s="45"/>
      <c r="O20" s="45"/>
      <c r="P20" s="45"/>
      <c r="Q20" s="45"/>
    </row>
    <row r="21" spans="2:17">
      <c r="B21" s="45"/>
      <c r="C21" s="45"/>
      <c r="D21" s="45"/>
      <c r="E21" s="45"/>
      <c r="F21" s="45"/>
      <c r="G21" s="45"/>
      <c r="H21" s="45"/>
      <c r="I21" s="45"/>
      <c r="J21" s="45"/>
      <c r="K21" s="45"/>
      <c r="L21" s="45"/>
      <c r="M21" s="45"/>
      <c r="N21" s="45"/>
      <c r="O21" s="45"/>
      <c r="P21" s="45"/>
      <c r="Q21" s="45"/>
    </row>
    <row r="22" spans="2:17">
      <c r="B22" s="45"/>
      <c r="C22" s="45"/>
      <c r="D22" s="45"/>
      <c r="E22" s="45"/>
      <c r="F22" s="45"/>
      <c r="G22" s="45"/>
      <c r="H22" s="45"/>
      <c r="I22" s="45"/>
      <c r="J22" s="45"/>
      <c r="K22" s="45"/>
      <c r="L22" s="45"/>
      <c r="M22" s="45"/>
      <c r="N22" s="45"/>
      <c r="O22" s="45"/>
      <c r="P22" s="45"/>
      <c r="Q22" s="45"/>
    </row>
    <row r="23" spans="2:17">
      <c r="B23" s="45"/>
      <c r="C23" s="45"/>
      <c r="D23" s="45"/>
      <c r="E23" s="45"/>
      <c r="F23" s="45"/>
      <c r="G23" s="45"/>
      <c r="H23" s="45"/>
      <c r="I23" s="45"/>
      <c r="J23" s="45"/>
      <c r="K23" s="45"/>
      <c r="L23" s="45"/>
      <c r="M23" s="45"/>
      <c r="N23" s="45"/>
      <c r="O23" s="45"/>
      <c r="P23" s="45"/>
      <c r="Q23" s="45"/>
    </row>
    <row r="24" spans="2:17">
      <c r="B24" s="45"/>
      <c r="C24" s="45"/>
      <c r="D24" s="45"/>
      <c r="E24" s="45"/>
      <c r="F24" s="45"/>
      <c r="G24" s="45"/>
      <c r="H24" s="45"/>
      <c r="I24" s="45"/>
      <c r="J24" s="45"/>
      <c r="K24" s="45"/>
      <c r="L24" s="45"/>
      <c r="M24" s="45"/>
      <c r="N24" s="45"/>
      <c r="O24" s="45"/>
      <c r="P24" s="45"/>
      <c r="Q24" s="45"/>
    </row>
    <row r="25" spans="2:17">
      <c r="B25" s="45"/>
      <c r="C25" s="45"/>
      <c r="D25" s="45"/>
      <c r="E25" s="45"/>
      <c r="F25" s="45"/>
      <c r="G25" s="45"/>
      <c r="H25" s="45"/>
      <c r="I25" s="45"/>
      <c r="J25" s="45"/>
      <c r="K25" s="45"/>
      <c r="L25" s="45"/>
      <c r="M25" s="45"/>
      <c r="N25" s="45"/>
      <c r="O25" s="45"/>
      <c r="P25" s="45"/>
      <c r="Q25" s="45"/>
    </row>
    <row r="26" spans="2:17">
      <c r="B26" s="45"/>
      <c r="C26" s="45"/>
      <c r="D26" s="45"/>
      <c r="E26" s="45"/>
      <c r="F26" s="45"/>
      <c r="G26" s="45"/>
      <c r="H26" s="45"/>
      <c r="I26" s="45"/>
      <c r="J26" s="45"/>
      <c r="K26" s="45"/>
      <c r="L26" s="45"/>
      <c r="M26" s="45"/>
      <c r="N26" s="45"/>
      <c r="O26" s="45"/>
      <c r="P26" s="45"/>
      <c r="Q26" s="45"/>
    </row>
    <row r="27" spans="2:17">
      <c r="B27" s="45"/>
      <c r="C27" s="45"/>
      <c r="D27" s="45"/>
      <c r="E27" s="45"/>
      <c r="F27" s="45"/>
      <c r="G27" s="45"/>
      <c r="H27" s="45"/>
      <c r="I27" s="45"/>
      <c r="J27" s="45"/>
      <c r="K27" s="45"/>
      <c r="L27" s="45"/>
      <c r="M27" s="45"/>
      <c r="N27" s="45"/>
      <c r="O27" s="45"/>
      <c r="P27" s="45"/>
      <c r="Q27" s="45"/>
    </row>
    <row r="28" spans="2:17">
      <c r="B28" s="45"/>
      <c r="C28" s="45"/>
      <c r="D28" s="45"/>
      <c r="E28" s="45"/>
      <c r="F28" s="45"/>
      <c r="G28" s="45"/>
      <c r="H28" s="45"/>
      <c r="I28" s="45"/>
      <c r="J28" s="45"/>
      <c r="K28" s="45"/>
      <c r="L28" s="45"/>
      <c r="M28" s="45"/>
      <c r="N28" s="45"/>
      <c r="O28" s="45"/>
      <c r="P28" s="45"/>
      <c r="Q28" s="45"/>
    </row>
    <row r="29" spans="2:17">
      <c r="B29" s="45"/>
      <c r="C29" s="45"/>
      <c r="D29" s="45"/>
      <c r="E29" s="45"/>
      <c r="F29" s="45"/>
      <c r="G29" s="45"/>
      <c r="H29" s="45"/>
      <c r="I29" s="45"/>
      <c r="J29" s="45"/>
      <c r="K29" s="45"/>
      <c r="L29" s="45"/>
      <c r="M29" s="45"/>
      <c r="N29" s="45"/>
      <c r="O29" s="45"/>
      <c r="P29" s="45"/>
      <c r="Q29" s="45"/>
    </row>
    <row r="30" spans="2:17">
      <c r="B30" s="45"/>
      <c r="C30" s="45"/>
      <c r="D30" s="45"/>
      <c r="E30" s="45"/>
      <c r="F30" s="45"/>
      <c r="G30" s="45"/>
      <c r="H30" s="45"/>
      <c r="I30" s="45"/>
      <c r="J30" s="45"/>
      <c r="K30" s="45"/>
      <c r="L30" s="45"/>
      <c r="M30" s="45"/>
      <c r="N30" s="45"/>
      <c r="O30" s="45"/>
      <c r="P30" s="45"/>
      <c r="Q30" s="45"/>
    </row>
    <row r="31" spans="2:17">
      <c r="B31" s="45"/>
      <c r="C31" s="45"/>
      <c r="D31" s="45"/>
      <c r="E31" s="45"/>
      <c r="F31" s="45"/>
      <c r="G31" s="45"/>
      <c r="H31" s="45"/>
      <c r="I31" s="45"/>
      <c r="J31" s="45"/>
      <c r="K31" s="45"/>
      <c r="L31" s="45"/>
      <c r="M31" s="45"/>
      <c r="N31" s="45"/>
      <c r="O31" s="45"/>
      <c r="P31" s="45"/>
      <c r="Q31" s="45"/>
    </row>
    <row r="32" spans="2:17">
      <c r="B32" s="45"/>
      <c r="C32" s="45"/>
      <c r="D32" s="45"/>
      <c r="E32" s="45"/>
      <c r="F32" s="45"/>
      <c r="G32" s="45"/>
      <c r="H32" s="45"/>
      <c r="I32" s="45"/>
      <c r="J32" s="45"/>
      <c r="K32" s="45"/>
      <c r="L32" s="45"/>
      <c r="M32" s="45"/>
      <c r="N32" s="45"/>
      <c r="O32" s="45"/>
      <c r="P32" s="45"/>
      <c r="Q32" s="45"/>
    </row>
    <row r="33" spans="2:17">
      <c r="B33" s="45"/>
      <c r="C33" s="45"/>
      <c r="D33" s="45"/>
      <c r="E33" s="45"/>
      <c r="F33" s="45"/>
      <c r="G33" s="45"/>
      <c r="H33" s="45"/>
      <c r="I33" s="45"/>
      <c r="J33" s="45"/>
      <c r="K33" s="45"/>
      <c r="L33" s="45"/>
      <c r="M33" s="45"/>
      <c r="N33" s="45"/>
      <c r="O33" s="45"/>
      <c r="P33" s="45"/>
      <c r="Q33" s="45"/>
    </row>
    <row r="34" spans="2:17">
      <c r="B34" s="45"/>
      <c r="C34" s="45"/>
      <c r="D34" s="45"/>
      <c r="E34" s="45"/>
      <c r="F34" s="45"/>
      <c r="G34" s="45"/>
      <c r="H34" s="45"/>
      <c r="I34" s="45"/>
      <c r="J34" s="45"/>
      <c r="K34" s="45"/>
      <c r="L34" s="45"/>
      <c r="M34" s="45"/>
      <c r="N34" s="45"/>
      <c r="O34" s="45"/>
      <c r="P34" s="45"/>
      <c r="Q34" s="45"/>
    </row>
    <row r="35" spans="2:17">
      <c r="B35" s="45"/>
      <c r="C35" s="45"/>
      <c r="D35" s="45"/>
      <c r="E35" s="45"/>
      <c r="F35" s="45"/>
      <c r="G35" s="45"/>
      <c r="H35" s="45"/>
      <c r="I35" s="45"/>
      <c r="J35" s="45"/>
      <c r="K35" s="45"/>
      <c r="L35" s="45"/>
      <c r="M35" s="45"/>
      <c r="N35" s="45"/>
      <c r="O35" s="45"/>
      <c r="P35" s="45"/>
      <c r="Q35" s="45"/>
    </row>
    <row r="36" spans="2:17">
      <c r="B36" s="45"/>
      <c r="C36" s="45"/>
      <c r="D36" s="45"/>
      <c r="E36" s="45"/>
      <c r="F36" s="45"/>
      <c r="G36" s="45"/>
      <c r="H36" s="45"/>
      <c r="I36" s="45"/>
      <c r="J36" s="45"/>
      <c r="K36" s="45"/>
      <c r="L36" s="45"/>
      <c r="M36" s="45"/>
      <c r="N36" s="45"/>
      <c r="O36" s="45"/>
      <c r="P36" s="45"/>
      <c r="Q36" s="45"/>
    </row>
    <row r="37" spans="2:17">
      <c r="B37" s="45"/>
      <c r="C37" s="45"/>
      <c r="D37" s="45"/>
      <c r="E37" s="45"/>
      <c r="F37" s="45"/>
      <c r="G37" s="45"/>
      <c r="H37" s="45"/>
      <c r="I37" s="45"/>
      <c r="J37" s="45"/>
      <c r="K37" s="45"/>
      <c r="L37" s="45"/>
      <c r="M37" s="45"/>
      <c r="N37" s="45"/>
      <c r="O37" s="45"/>
      <c r="P37" s="45"/>
      <c r="Q37" s="45"/>
    </row>
    <row r="38" spans="2:17">
      <c r="B38" s="45"/>
      <c r="C38" s="45"/>
      <c r="D38" s="45"/>
      <c r="E38" s="45"/>
      <c r="F38" s="45"/>
      <c r="G38" s="45"/>
      <c r="H38" s="45"/>
      <c r="I38" s="45"/>
      <c r="J38" s="45"/>
      <c r="K38" s="45"/>
      <c r="L38" s="45"/>
      <c r="M38" s="45"/>
      <c r="N38" s="45"/>
      <c r="O38" s="45"/>
      <c r="P38" s="45"/>
      <c r="Q38" s="45"/>
    </row>
    <row r="39" spans="2:17">
      <c r="B39" s="45"/>
      <c r="C39" s="45"/>
      <c r="D39" s="45"/>
      <c r="E39" s="45"/>
      <c r="F39" s="45"/>
      <c r="G39" s="45"/>
      <c r="H39" s="45"/>
      <c r="I39" s="45"/>
      <c r="J39" s="45"/>
      <c r="K39" s="45"/>
      <c r="L39" s="45"/>
      <c r="M39" s="45"/>
      <c r="N39" s="45"/>
      <c r="O39" s="45"/>
      <c r="P39" s="45"/>
      <c r="Q39" s="45"/>
    </row>
    <row r="40" spans="2:17">
      <c r="B40" s="45"/>
      <c r="C40" s="45"/>
      <c r="D40" s="45"/>
      <c r="E40" s="45"/>
      <c r="F40" s="45"/>
      <c r="G40" s="45"/>
      <c r="H40" s="45"/>
      <c r="I40" s="45"/>
      <c r="J40" s="45"/>
      <c r="K40" s="45"/>
      <c r="L40" s="45"/>
      <c r="M40" s="45"/>
      <c r="N40" s="45"/>
      <c r="O40" s="45"/>
      <c r="P40" s="45"/>
      <c r="Q40" s="45"/>
    </row>
    <row r="41" spans="2:17">
      <c r="B41" s="45"/>
      <c r="C41" s="45"/>
      <c r="D41" s="45"/>
      <c r="E41" s="45"/>
      <c r="F41" s="45"/>
      <c r="G41" s="45"/>
      <c r="H41" s="45"/>
      <c r="I41" s="45"/>
      <c r="J41" s="45"/>
      <c r="K41" s="45"/>
      <c r="L41" s="45"/>
      <c r="M41" s="45"/>
      <c r="N41" s="45"/>
      <c r="O41" s="45"/>
      <c r="P41" s="45"/>
      <c r="Q41" s="45"/>
    </row>
    <row r="42" spans="2:17">
      <c r="B42" s="45"/>
      <c r="C42" s="45"/>
      <c r="D42" s="45"/>
      <c r="E42" s="45"/>
      <c r="F42" s="45"/>
      <c r="G42" s="45"/>
      <c r="H42" s="45"/>
      <c r="I42" s="45"/>
      <c r="J42" s="45"/>
      <c r="K42" s="45"/>
      <c r="L42" s="45"/>
      <c r="M42" s="45"/>
      <c r="N42" s="45"/>
      <c r="O42" s="45"/>
      <c r="P42" s="45"/>
      <c r="Q42" s="45"/>
    </row>
    <row r="43" spans="2:17">
      <c r="B43" s="45"/>
      <c r="C43" s="45"/>
      <c r="D43" s="45"/>
      <c r="E43" s="45"/>
      <c r="F43" s="45"/>
      <c r="G43" s="45"/>
      <c r="H43" s="45"/>
      <c r="I43" s="45"/>
      <c r="J43" s="45"/>
      <c r="K43" s="45"/>
      <c r="L43" s="45"/>
      <c r="M43" s="45"/>
      <c r="N43" s="45"/>
      <c r="O43" s="45"/>
      <c r="P43" s="45"/>
      <c r="Q43" s="45"/>
    </row>
    <row r="44" spans="2:17" ht="18" customHeight="1">
      <c r="B44" s="57" t="s">
        <v>9</v>
      </c>
      <c r="C44" s="58" t="s">
        <v>47</v>
      </c>
      <c r="D44" s="58" t="s">
        <v>41</v>
      </c>
      <c r="E44" s="58" t="s">
        <v>36</v>
      </c>
      <c r="F44" s="59" t="s">
        <v>29</v>
      </c>
      <c r="G44" s="45"/>
      <c r="H44" s="45"/>
      <c r="I44" s="45"/>
      <c r="J44" s="45"/>
      <c r="K44" s="45"/>
      <c r="L44" s="45"/>
      <c r="M44" s="45"/>
      <c r="N44" s="45"/>
      <c r="O44" s="45"/>
      <c r="P44" s="45"/>
      <c r="Q44" s="45"/>
    </row>
    <row r="45" spans="2:17" ht="18" customHeight="1">
      <c r="B45" s="55" t="s">
        <v>45</v>
      </c>
      <c r="C45" s="60">
        <v>8.0950000000000006</v>
      </c>
      <c r="D45" s="60">
        <v>8.5388888888888879</v>
      </c>
      <c r="E45" s="60">
        <v>8.1</v>
      </c>
      <c r="F45" s="60">
        <v>7.8166666666666647</v>
      </c>
      <c r="G45" s="45"/>
      <c r="H45" s="45"/>
      <c r="I45" s="45"/>
      <c r="J45" s="45"/>
      <c r="K45" s="45"/>
      <c r="L45" s="45"/>
      <c r="M45" s="45"/>
      <c r="N45" s="45"/>
      <c r="O45" s="45"/>
      <c r="P45" s="45"/>
      <c r="Q45" s="45"/>
    </row>
    <row r="46" spans="2:17" ht="18" customHeight="1">
      <c r="B46" s="55" t="s">
        <v>52</v>
      </c>
      <c r="C46" s="60">
        <v>7.9764705882352951</v>
      </c>
      <c r="D46" s="60">
        <v>8.1666666666666679</v>
      </c>
      <c r="E46" s="60">
        <v>8.1733333333333338</v>
      </c>
      <c r="F46" s="60">
        <v>7.85</v>
      </c>
      <c r="G46" s="45"/>
      <c r="H46" s="45"/>
      <c r="I46" s="45"/>
      <c r="J46" s="45"/>
      <c r="K46" s="45"/>
      <c r="L46" s="45"/>
      <c r="M46" s="45"/>
      <c r="N46" s="45"/>
      <c r="O46" s="45"/>
      <c r="P46" s="45"/>
      <c r="Q46" s="45"/>
    </row>
    <row r="47" spans="2:17" ht="18" customHeight="1">
      <c r="B47" s="55" t="s">
        <v>59</v>
      </c>
      <c r="C47" s="60">
        <v>7.8999999999999995</v>
      </c>
      <c r="D47" s="60">
        <v>7.6454545454545446</v>
      </c>
      <c r="E47" s="60">
        <v>8.52</v>
      </c>
      <c r="F47" s="60">
        <v>8.0521739130434771</v>
      </c>
      <c r="G47" s="45"/>
      <c r="H47" s="45"/>
      <c r="I47" s="45"/>
      <c r="J47" s="45"/>
      <c r="K47" s="45"/>
      <c r="L47" s="45"/>
      <c r="M47" s="45"/>
      <c r="N47" s="45"/>
      <c r="O47" s="45"/>
      <c r="P47" s="45"/>
      <c r="Q47" s="45"/>
    </row>
    <row r="48" spans="2:17" ht="18" customHeight="1">
      <c r="B48" s="55" t="s">
        <v>35</v>
      </c>
      <c r="C48" s="60">
        <v>7.5470588235294125</v>
      </c>
      <c r="D48" s="60">
        <v>8.2562499999999996</v>
      </c>
      <c r="E48" s="60">
        <v>7.8222222222222229</v>
      </c>
      <c r="F48" s="60">
        <v>8.052941176470588</v>
      </c>
      <c r="G48" s="45"/>
      <c r="H48" s="45"/>
      <c r="I48" s="45"/>
      <c r="J48" s="45"/>
      <c r="K48" s="45"/>
      <c r="L48" s="45"/>
      <c r="M48" s="45"/>
      <c r="N48" s="45"/>
      <c r="O48" s="45"/>
      <c r="P48" s="45"/>
      <c r="Q48" s="45"/>
    </row>
    <row r="49" spans="2:17" ht="18" customHeight="1">
      <c r="B49" s="56" t="s">
        <v>28</v>
      </c>
      <c r="C49" s="61">
        <v>8.1789473684210527</v>
      </c>
      <c r="D49" s="61">
        <v>7.7999999999999989</v>
      </c>
      <c r="E49" s="61">
        <v>8.2777777777777786</v>
      </c>
      <c r="F49" s="61">
        <v>7.9565217391304346</v>
      </c>
      <c r="G49" s="45"/>
      <c r="H49" s="45"/>
      <c r="I49" s="45"/>
      <c r="J49" s="45"/>
      <c r="K49" s="45"/>
      <c r="L49" s="45"/>
      <c r="M49" s="45"/>
      <c r="N49" s="45"/>
      <c r="O49" s="45"/>
      <c r="P49" s="45"/>
      <c r="Q49" s="45"/>
    </row>
  </sheetData>
  <mergeCells count="5">
    <mergeCell ref="L6:M6"/>
    <mergeCell ref="L7:M7"/>
    <mergeCell ref="G7:H7"/>
    <mergeCell ref="C5:E5"/>
    <mergeCell ref="G5:I5"/>
  </mergeCells>
  <conditionalFormatting sqref="C45:F49">
    <cfRule type="colorScale" priority="1">
      <colorScale>
        <cfvo type="min"/>
        <cfvo type="percentile" val="50"/>
        <cfvo type="max"/>
        <color rgb="FF5A8AC6"/>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Business_Case</vt:lpstr>
      <vt:lpstr>Dataset</vt:lpstr>
      <vt:lpstr>Questions</vt:lpstr>
      <vt:lpstr>cleaned data </vt:lpstr>
      <vt:lpstr>Pivot Table </vt:lpstr>
      <vt:lpstr>Deliverable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sanyam agrawal</cp:lastModifiedBy>
  <dcterms:created xsi:type="dcterms:W3CDTF">2026-07-29T07:14:43Z</dcterms:created>
  <dcterms:modified xsi:type="dcterms:W3CDTF">2026-10-23T09:36:13Z</dcterms:modified>
</cp:coreProperties>
</file>